
<file path=[Content_Types].xml><?xml version="1.0" encoding="utf-8"?>
<Types xmlns="http://schemas.openxmlformats.org/package/2006/content-types" xmlns:xsd="http://www.w3.org/2001/XMLSchema" xmlns:xsi="http://www.w3.org/2001/XMLSchema-instance">
  <Default Extension="xml" ContentType="application/xml"/>
  <Default Extension="bin" ContentType="application/vnd.ms-excel.sheet.binary.macroEnabled.main"/>
  <Default Extension="vml" ContentType="application/vnd.openxmlformats-officedocument.vmlDrawing"/>
  <Default Extension="data" ContentType="application/vnd.openxmlformats-officedocument.model+data"/>
  <Default Extension="bmp" ContentType="image/bmp"/>
  <Default Extension="png" ContentType="image/png"/>
  <Default Extension="gif" ContentType="image/gif"/>
  <Default Extension="emf" ContentType="image/x-emf"/>
  <Default Extension="wmf" ContentType="image/x-wmf"/>
  <Default Extension="jpg" ContentType="image/jpeg"/>
  <Default Extension="jpeg" ContentType="image/jpeg"/>
  <Default Extension="tif" ContentType="image/tiff"/>
  <Default Extension="tiff" ContentType="image/tiff"/>
  <Default Extension="pdf" ContentType="application/pdf"/>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xml" ContentType="application/vnd.openxmlformats-officedocument.spreadsheetml.sheetMetadata+xml"/>
</Types>
</file>

<file path=_rels/.rels><?xml version="1.0" encoding="UTF-8" standalone="yes"?>
<Relationships xmlns="http://schemas.openxmlformats.org/package/2006/relationships"><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workbookPr codeName="ThisWorkbook" defaultThemeVersion="166925"/>
  <sheets>
    <sheet name="Dashboard" sheetId="1" r:id="rId1"/>
    <sheet name="Redemptions" sheetId="2" r:id="rId2"/>
    <sheet name="TransactionData" sheetId="3" r:id="rId3" state="hidden"/>
    <sheet name="Countries" sheetId="4" r:id="rId4" state="hidden"/>
    <sheet name="RedemptionAccounts" sheetId="5" r:id="rId5" state="hidden"/>
    <sheet name="TradeAccounts" sheetId="6" r:id="rId6" state="hidden"/>
    <sheet name="AvailableI-RECs" sheetId="7" r:id="rId7"/>
    <sheet name="NewBeneficiaries" sheetId="8" r:id="rId8"/>
  </sheets>
  <definedNames>
    <definedName name="_xlnm._FilterDatabase" localSheetId="6" hidden="1">'AvailableI-RECs'!A1:N2</definedName>
    <definedName name="_xlnm._FilterDatabase" localSheetId="4" hidden="1">RedemptionAccounts!$A$1:$G$2</definedName>
    <definedName name="_xlnm._FilterDatabase" localSheetId="1" hidden="1">Redemptions!$A$2:$D$30</definedName>
    <definedName name="_xlnm._FilterDatabase" localSheetId="5" hidden="1">TradeAccounts!$A$1:$G$2</definedName>
    <definedName name="nRedemptionRows">Dashboard!$B$36</definedName>
    <definedName name="nRedemptions">Dashboard!$B$35</definedName>
    <definedName name="sAvailable">Dashboard!$B$33</definedName>
    <definedName name="sBeneficiary">NewBeneficiaries!$A$4</definedName>
    <definedName name="sClient">Dashboard!$B$7</definedName>
    <definedName name="sHost">Dashboard!$B$4</definedName>
    <definedName name="sRequired">Dashboard!$B$24</definedName>
    <definedName name="sSecret">Dashboard!$B$8</definedName>
    <definedName name="sSource">Dashboard!$B$19</definedName>
    <definedName name="sToken">Dashboard!$B$6</definedName>
    <definedName name="sUsername">Dashboard!$B$5</definedName>
    <definedName name="vBeneficiaries">NewBeneficiaries!$B$2</definedName>
    <definedName name="vIncomplete">NewBeneficiaries!$E$2</definedName>
  </definedNames>
</workbook>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tyles.xml><?xml version="1.0" encoding="utf-8"?>
<styleSheet xmlns="http://schemas.openxmlformats.org/spreadsheetml/2006/main" xmlns:vt="http://schemas.openxmlformats.org/officeDocument/2006/docPropsVTypes">
  <numFmts count="6">
    <numFmt numFmtId="56" formatCode="&quot;上午/下午 &quot;hh&quot;時&quot;mm&quot;分&quot;ss&quot;秒 &quot;"/>
    <numFmt numFmtId="164" formatCode="[$-F800]dddd\,\ mmmm\ dd\,\ yyyy"/>
    <numFmt numFmtId="165" formatCode="&quot;Volume required = &quot;0"/>
    <numFmt numFmtId="166" formatCode="&quot;Volume available = &quot;0"/>
    <numFmt numFmtId="167" formatCode="&quot;Number of Redemptions to process = &quot;0"/>
    <numFmt numFmtId="168" formatCode="&quot;Number of Rows to process = &quot;0&quot; (including Beneficiaries with no volume)&quot;"/>
  </numFmts>
  <fonts count="1">
    <font>
      <sz val="12"/>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applyNumberFormat="1"/>
  </cellXfs>
  <cellStyles count="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 Id="rId11" Type="http://schemas.openxmlformats.org/officeDocument/2006/relationships/sheetMetadata" Target="metadata.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dimension ref="A1:B39"/>
  <sheetViews>
    <sheetView workbookViewId="0" rightToLeft="0"/>
  </sheetViews>
  <sheetData>
    <row r="1">
      <c r="A1" t="str">
        <v>DO NOT MODIFY THIS PAGE OTHER THAN BY CHANGING SETTINGS</v>
      </c>
    </row>
    <row r="3">
      <c r="B3" t="str">
        <v>1: Enter your Registry API access details below</v>
      </c>
    </row>
    <row r="4">
      <c r="A4" t="str">
        <v>Server URL</v>
      </c>
      <c r="B4" t="str">
        <v>https://sandbox.evident.dev</v>
      </c>
    </row>
    <row r="5">
      <c r="A5" t="str">
        <v>Username</v>
      </c>
      <c r="B5" t="str">
        <v>PARTICIPANTUSER011</v>
      </c>
    </row>
    <row r="6">
      <c r="A6" t="str">
        <v>Token</v>
      </c>
      <c r="B6" t="str">
        <v>51244699d2726246db4e3298ac145d0c2fcd99413e719cabab052sdca3a0381fefeaa94cfa7d6b17c2a6bce12a83990707ebP011</v>
      </c>
    </row>
    <row r="7">
      <c r="A7" t="str">
        <v>Client</v>
      </c>
      <c r="B7" t="str">
        <v>67f073edbe5fd67b9fa41570e9fdP011</v>
      </c>
    </row>
    <row r="8">
      <c r="A8" t="str">
        <v>Secret</v>
      </c>
      <c r="B8" t="str">
        <v>d912e059a87d1a3cdad6082e4c6eec966bb78b8c183b4ea230c80d3a0c87e598524b382291919a7824f7cea2308550003d6134d18d58b2be94874e64627b59f1</v>
      </c>
    </row>
    <row r="10">
      <c r="B10" t="str">
        <v>2: Press the "Initialise" button below</v>
      </c>
    </row>
    <row r="14">
      <c r="B14" t="str">
        <v>3: If new beneficiaries are required, input the details on the NewBeneficiaries sheet and press the "Add New Beneficiaries" button below</v>
      </c>
    </row>
    <row r="18">
      <c r="B18" t="str">
        <v>4: Select the source account for your Redemptions below</v>
      </c>
    </row>
    <row r="19">
      <c r="A19" t="str">
        <v>Source Account</v>
      </c>
      <c r="B19" t="str">
        <v>ACCOUNTTRADE011</v>
      </c>
    </row>
    <row r="21">
      <c r="B21" t="str">
        <v>5: On the Redemptions sheet:</v>
      </c>
    </row>
    <row r="22">
      <c r="B22" t="str">
        <v>&gt; Enter the Redemption Account, Required Volume, Start Date, End Date, and Redemption Purpose for each required Beneficiary</v>
      </c>
    </row>
    <row r="23">
      <c r="B23" t="str">
        <v>NB: To exclude a Beneficiary from this batch, set the Required Volume to 0</v>
      </c>
    </row>
    <row r="24">
      <c r="B24">
        <f>SUM(Redemptions!F:F)</f>
        <v>0</v>
      </c>
    </row>
    <row r="26">
      <c r="B26" t="str">
        <v>6: Press the "Load I-RECS" button below to show all available I-RECs in the selected source account</v>
      </c>
    </row>
    <row r="27">
      <c r="B27" t="str">
        <v>NB: This data is a "one time" link to the registry. Please ensure you refresh this data if any other transfers or redemptions are processed.</v>
      </c>
    </row>
    <row r="31">
      <c r="B31" t="str">
        <v>7: On the AvailableI-RECs sheet:</v>
      </c>
    </row>
    <row r="32">
      <c r="B32" t="str">
        <v>&gt; Select which batch of I-RECs is to be used for the Redemptions, enter a number in order of priority for which batches should be allocted.</v>
      </c>
    </row>
    <row r="33">
      <c r="B33">
        <f>SUMIF('AvailableI-RECs'!N:N,"&lt;&gt;0",'AvailableI-RECs'!B:B)</f>
        <v>0</v>
      </c>
    </row>
    <row r="34">
      <c r="B34" t="str">
        <f>IF(B24&gt;B33,"WARNING: Insufficient I-RECs available, please select a larger batch or reduce the number of Redemptions","Status: OK - Available volume matches or exceeds requirement")</f>
        <v>Status: OK - Available volume matches or exceeds requirement</v>
      </c>
    </row>
    <row r="35">
      <c r="B35">
        <f>COUNT(Redemptions!F:F)-COUNTIF(Redemptions!F:F,"0")</f>
        <v>0</v>
      </c>
    </row>
    <row r="36">
      <c r="B36">
        <f>COUNT(Redemptions!A:A)</f>
        <v>0</v>
      </c>
    </row>
    <row r="38">
      <c r="B38" t="str">
        <v>8: Press the "Process Redemptions" button below to process the requested Redemptions</v>
      </c>
    </row>
    <row r="39">
      <c r="B39" t="str">
        <v>NB: This process cannot be reversed.</v>
      </c>
    </row>
  </sheetData>
  <pageMargins left="0.7" right="0.7" top="0.75" bottom="0.75" header="0.3" footer="0.3"/>
  <ignoredErrors>
    <ignoredError numberStoredAsText="1" sqref="A1:B39"/>
  </ignoredErrors>
</worksheet>
</file>

<file path=xl/worksheets/sheet2.xml><?xml version="1.0" encoding="utf-8"?>
<worksheet xmlns="http://schemas.openxmlformats.org/spreadsheetml/2006/main" xmlns:r="http://schemas.openxmlformats.org/officeDocument/2006/relationships">
  <dimension ref="A1:J50"/>
  <sheetViews>
    <sheetView workbookViewId="0" rightToLeft="0"/>
  </sheetViews>
  <sheetData>
    <row r="1">
      <c r="B1" t="str">
        <v>Total Required</v>
      </c>
      <c r="C1">
        <f>SUM(F:F)</f>
        <v>0</v>
      </c>
      <c r="H1" t="str">
        <v>Errors</v>
      </c>
      <c r="I1">
        <f>COUNTIF(J:J,"Error or Missing Data")</f>
        <v>28</v>
      </c>
    </row>
    <row r="2">
      <c r="A2" t="str">
        <v>ID</v>
      </c>
      <c r="B2" t="str">
        <v>Name</v>
      </c>
      <c r="C2" t="str">
        <v>Country</v>
      </c>
      <c r="D2" t="str">
        <v>Location</v>
      </c>
      <c r="E2" t="str">
        <v>Redemption Account</v>
      </c>
      <c r="F2" t="str">
        <v>Volume Required</v>
      </c>
      <c r="G2" t="str">
        <v>Start Date</v>
      </c>
      <c r="H2" t="str">
        <v>End Date</v>
      </c>
      <c r="I2" t="str">
        <v>Redemption Purpose</v>
      </c>
      <c r="J2" t="str">
        <v>Status</v>
      </c>
    </row>
    <row r="3">
      <c r="B3" t="str">
        <v>Blockchain Network ID: 246 - Tokenization Protocol: ZL 1.0.0 - Smart Contract Address: 0x2248a8E53c8cf533AEEf2369FfF9Dc8C036c8900 - Batch ID: 5711 - Filecoin minerID f082635</v>
      </c>
      <c r="C3" t="str">
        <v>CN</v>
      </c>
      <c r="D3" t="str">
        <v>CN-SC</v>
      </c>
      <c r="F3">
        <v>446</v>
      </c>
      <c r="G3" t="str">
        <v>2022-01-01</v>
      </c>
      <c r="H3" t="str">
        <v>2022-03-31</v>
      </c>
      <c r="I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0. The certificates will be created as tokens of type ERC1888-Topic1 This redemption is matched to Filecoin minerID f082635</v>
      </c>
      <c r="J3" t="str">
        <f>IF(OR(AND(ISNUMBER(F3),F3=0),AND(AND(ISTEXT(E3),ISNUMBER(F3),ISNUMBER(G3),ISNUMBER(H3)),H3&gt;=G3)),"OK","Error or Missing Data")</f>
        <v>Error or Missing Data</v>
      </c>
    </row>
    <row r="4">
      <c r="B4" t="str">
        <v>Blockchain Network ID: 246 - Tokenization Protocol: ZL 1.0.0 - Smart Contract Address: 0x2248a8E53c8cf533AEEf2369FfF9Dc8C036c8900 - Batch ID: 5712 - Filecoin minerID f022289</v>
      </c>
      <c r="C4" t="str">
        <v>CN</v>
      </c>
      <c r="D4" t="str">
        <v>CN-SC</v>
      </c>
      <c r="F4">
        <v>91</v>
      </c>
      <c r="G4" t="str">
        <v>2022-01-01</v>
      </c>
      <c r="H4" t="str">
        <v>2022-03-31</v>
      </c>
      <c r="I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 The certificates will be created as tokens of type ERC1888-Topic1 This redemption is matched to Filecoin minerID f022289</v>
      </c>
      <c r="J4" t="str">
        <f>IF(OR(AND(ISNUMBER(F4),F4=0),AND(AND(ISTEXT(E4),ISNUMBER(F4),ISNUMBER(G4),ISNUMBER(H4)),H4&gt;=G4)),"OK","Error or Missing Data")</f>
        <v>Error or Missing Data</v>
      </c>
    </row>
    <row r="5">
      <c r="B5" t="str">
        <v>Blockchain Network ID: 246 - Tokenization Protocol: ZL 1.0.0 - Smart Contract Address: 0x2248a8E53c8cf533AEEf2369FfF9Dc8C036c8900 - Batch ID: 5713 - Filecoin minerID f019362</v>
      </c>
      <c r="C5" t="str">
        <v>CN</v>
      </c>
      <c r="D5" t="str">
        <v>CN-HB</v>
      </c>
      <c r="F5">
        <v>11</v>
      </c>
      <c r="G5" t="str">
        <v>2022-01-01</v>
      </c>
      <c r="H5" t="str">
        <v>2022-03-31</v>
      </c>
      <c r="I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 The certificates will be created as tokens of type ERC1888-Topic1 This redemption is matched to Filecoin minerID f019362</v>
      </c>
      <c r="J5" t="str">
        <f>IF(OR(AND(ISNUMBER(F5),F5=0),AND(AND(ISTEXT(E5),ISNUMBER(F5),ISNUMBER(G5),ISNUMBER(H5)),H5&gt;=G5)),"OK","Error or Missing Data")</f>
        <v>Error or Missing Data</v>
      </c>
    </row>
    <row r="6">
      <c r="B6" t="str">
        <v>Blockchain Network ID: 246 - Tokenization Protocol: ZL 1.0.0 - Smart Contract Address: 0x2248a8E53c8cf533AEEf2369FfF9Dc8C036c8900 - Batch ID: 5714 - Filecoin minerID f07998</v>
      </c>
      <c r="C6" t="str">
        <v>CN</v>
      </c>
      <c r="D6" t="str">
        <v>CN-HB</v>
      </c>
      <c r="F6">
        <v>5</v>
      </c>
      <c r="G6" t="str">
        <v>2022-01-01</v>
      </c>
      <c r="H6" t="str">
        <v>2022-03-31</v>
      </c>
      <c r="I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 The certificates will be created as tokens of type ERC1888-Topic1 This redemption is matched to Filecoin minerID f07998</v>
      </c>
      <c r="J6" t="str">
        <f>IF(OR(AND(ISNUMBER(F6),F6=0),AND(AND(ISTEXT(E6),ISNUMBER(F6),ISNUMBER(G6),ISNUMBER(H6)),H6&gt;=G6)),"OK","Error or Missing Data")</f>
        <v>Error or Missing Data</v>
      </c>
    </row>
    <row r="7">
      <c r="B7" t="str">
        <v>Blockchain Network ID: 246 - Tokenization Protocol: ZL 1.0.0 - Smart Contract Address: 0x2248a8E53c8cf533AEEf2369FfF9Dc8C036c8900 - Batch ID: 5715 - Filecoin minerID f02606</v>
      </c>
      <c r="C7" t="str">
        <v>CN</v>
      </c>
      <c r="D7" t="str">
        <v>CN-ZJ</v>
      </c>
      <c r="F7">
        <v>77</v>
      </c>
      <c r="G7" t="str">
        <v>2022-01-01</v>
      </c>
      <c r="H7" t="str">
        <v>2022-03-31</v>
      </c>
      <c r="I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 The certificates will be created as tokens of type ERC1888-Topic1 This redemption is matched to Filecoin minerID f02606</v>
      </c>
      <c r="J7" t="str">
        <f>IF(OR(AND(ISNUMBER(F7),F7=0),AND(AND(ISTEXT(E7),ISNUMBER(F7),ISNUMBER(G7),ISNUMBER(H7)),H7&gt;=G7)),"OK","Error or Missing Data")</f>
        <v>Error or Missing Data</v>
      </c>
    </row>
    <row r="8">
      <c r="B8" t="str">
        <v>Blockchain Network ID: 246 - Tokenization Protocol: ZL 1.0.0 - Smart Contract Address: 0x2248a8E53c8cf533AEEf2369FfF9Dc8C036c8900 - Batch ID: 5716 - Filecoin minerID f0147496</v>
      </c>
      <c r="C8" t="str">
        <v>CN</v>
      </c>
      <c r="D8" t="str">
        <v>CN-BJ</v>
      </c>
      <c r="F8">
        <v>422</v>
      </c>
      <c r="G8" t="str">
        <v>2022-01-01</v>
      </c>
      <c r="H8" t="str">
        <v>2022-03-31</v>
      </c>
      <c r="I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 The certificates will be created as tokens of type ERC1888-Topic1 This redemption is matched to Filecoin minerID f0147496</v>
      </c>
      <c r="J8" t="str">
        <f>IF(OR(AND(ISNUMBER(F8),F8=0),AND(AND(ISTEXT(E8),ISNUMBER(F8),ISNUMBER(G8),ISNUMBER(H8)),H8&gt;=G8)),"OK","Error or Missing Data")</f>
        <v>Error or Missing Data</v>
      </c>
    </row>
    <row r="9">
      <c r="B9" t="str">
        <v>Blockchain Network ID: 246 - Tokenization Protocol: ZL 1.0.0 - Smart Contract Address: 0x2248a8E53c8cf533AEEf2369FfF9Dc8C036c8900 - Batch ID: 5717 - Filecoin minerID f0133235</v>
      </c>
      <c r="C9" t="str">
        <v>CN</v>
      </c>
      <c r="D9" t="str">
        <v>CN-HA</v>
      </c>
      <c r="F9">
        <v>119</v>
      </c>
      <c r="G9" t="str">
        <v>2022-01-01</v>
      </c>
      <c r="H9" t="str">
        <v>2022-03-31</v>
      </c>
      <c r="I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 The certificates will be created as tokens of type ERC1888-Topic1 This redemption is matched to Filecoin minerID f0133235</v>
      </c>
      <c r="J9" t="str">
        <f>IF(OR(AND(ISNUMBER(F9),F9=0),AND(AND(ISTEXT(E9),ISNUMBER(F9),ISNUMBER(G9),ISNUMBER(H9)),H9&gt;=G9)),"OK","Error or Missing Data")</f>
        <v>Error or Missing Data</v>
      </c>
    </row>
    <row r="10">
      <c r="B10" t="str">
        <v>Blockchain Network ID: 246 - Tokenization Protocol: ZL 1.0.0 - Smart Contract Address: 0x2248a8E53c8cf533AEEf2369FfF9Dc8C036c8900 - Batch ID: 5718 - Filecoin minerID f0536177</v>
      </c>
      <c r="C10" t="str">
        <v>CN</v>
      </c>
      <c r="D10" t="str">
        <v>CN-HA</v>
      </c>
      <c r="F10">
        <v>58</v>
      </c>
      <c r="G10" t="str">
        <v>2022-01-01</v>
      </c>
      <c r="H10" t="str">
        <v>2022-03-31</v>
      </c>
      <c r="I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 The certificates will be created as tokens of type ERC1888-Topic1 This redemption is matched to Filecoin minerID f0536177</v>
      </c>
      <c r="J10" t="str">
        <f>IF(OR(AND(ISNUMBER(F10),F10=0),AND(AND(ISTEXT(E10),ISNUMBER(F10),ISNUMBER(G10),ISNUMBER(H10)),H10&gt;=G10)),"OK","Error or Missing Data")</f>
        <v>Error or Missing Data</v>
      </c>
    </row>
    <row r="11">
      <c r="B11" t="str">
        <v>Blockchain Network ID: 246 - Tokenization Protocol: ZL 1.0.0 - Smart Contract Address: 0x2248a8E53c8cf533AEEf2369FfF9Dc8C036c8900 - Batch ID: 5719 - Filecoin minerID f0711266</v>
      </c>
      <c r="C11" t="str">
        <v>CN</v>
      </c>
      <c r="D11" t="str">
        <v>CN-HA</v>
      </c>
      <c r="F11">
        <v>116</v>
      </c>
      <c r="G11" t="str">
        <v>2022-01-01</v>
      </c>
      <c r="H11" t="str">
        <v>2022-03-31</v>
      </c>
      <c r="I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 The certificates will be created as tokens of type ERC1888-Topic1 This redemption is matched to Filecoin minerID f0711266</v>
      </c>
      <c r="J11" t="str">
        <f>IF(OR(AND(ISNUMBER(F11),F11=0),AND(AND(ISTEXT(E11),ISNUMBER(F11),ISNUMBER(G11),ISNUMBER(H11)),H11&gt;=G11)),"OK","Error or Missing Data")</f>
        <v>Error or Missing Data</v>
      </c>
    </row>
    <row r="12">
      <c r="B12" t="str">
        <v>Blockchain Network ID: 246 - Tokenization Protocol: ZL 1.0.0 - Smart Contract Address: 0x2248a8E53c8cf533AEEf2369FfF9Dc8C036c8900 - Batch ID: 5720 - Filecoin minerID f02299</v>
      </c>
      <c r="C12" t="str">
        <v>CN</v>
      </c>
      <c r="D12" t="str">
        <v>CN-BJ</v>
      </c>
      <c r="F12">
        <v>7</v>
      </c>
      <c r="G12" t="str">
        <v>2022-01-01</v>
      </c>
      <c r="H12" t="str">
        <v>2022-03-31</v>
      </c>
      <c r="I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 The certificates will be created as tokens of type ERC1888-Topic1 This redemption is matched to Filecoin minerID f02299</v>
      </c>
      <c r="J12" t="str">
        <f>IF(OR(AND(ISNUMBER(F12),F12=0),AND(AND(ISTEXT(E12),ISNUMBER(F12),ISNUMBER(G12),ISNUMBER(H12)),H12&gt;=G12)),"OK","Error or Missing Data")</f>
        <v>Error or Missing Data</v>
      </c>
    </row>
    <row r="13">
      <c r="B13" t="str">
        <v>Blockchain Network ID: 246 - Tokenization Protocol: ZL 1.0.0 - Smart Contract Address: 0x2248a8E53c8cf533AEEf2369FfF9Dc8C036c8900 - Batch ID: 5721 - Filecoin minerID f019041</v>
      </c>
      <c r="C13" t="str">
        <v>CN</v>
      </c>
      <c r="D13" t="str">
        <v>CN-ZJ</v>
      </c>
      <c r="F13">
        <v>126</v>
      </c>
      <c r="G13" t="str">
        <v>2022-01-01</v>
      </c>
      <c r="H13" t="str">
        <v>2022-03-31</v>
      </c>
      <c r="I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 The certificates will be created as tokens of type ERC1888-Topic1 This redemption is matched to Filecoin minerID f019041</v>
      </c>
      <c r="J13" t="str">
        <f>IF(OR(AND(ISNUMBER(F13),F13=0),AND(AND(ISTEXT(E13),ISNUMBER(F13),ISNUMBER(G13),ISNUMBER(H13)),H13&gt;=G13)),"OK","Error or Missing Data")</f>
        <v>Error or Missing Data</v>
      </c>
    </row>
    <row r="14">
      <c r="B14" t="str">
        <v>Blockchain Network ID: 246 - Tokenization Protocol: ZL 1.0.0 - Smart Contract Address: 0x2248a8E53c8cf533AEEf2369FfF9Dc8C036c8900 - Batch ID: 5722 - Filecoin minerID f0101019</v>
      </c>
      <c r="C14" t="str">
        <v>CN</v>
      </c>
      <c r="D14" t="str">
        <v>CN-HA</v>
      </c>
      <c r="F14">
        <v>62</v>
      </c>
      <c r="G14" t="str">
        <v>2022-01-01</v>
      </c>
      <c r="H14" t="str">
        <v>2022-03-31</v>
      </c>
      <c r="I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 The certificates will be created as tokens of type ERC1888-Topic1 This redemption is matched to Filecoin minerID f0101019</v>
      </c>
      <c r="J14" t="str">
        <f>IF(OR(AND(ISNUMBER(F14),F14=0),AND(AND(ISTEXT(E14),ISNUMBER(F14),ISNUMBER(G14),ISNUMBER(H14)),H14&gt;=G14)),"OK","Error or Missing Data")</f>
        <v>Error or Missing Data</v>
      </c>
    </row>
    <row r="15">
      <c r="B15" t="str">
        <v>Blockchain Network ID: 246 - Tokenization Protocol: ZL 1.0.0 - Smart Contract Address: 0x2248a8E53c8cf533AEEf2369FfF9Dc8C036c8900 - Batch ID: 5723 - Filecoin minerID f0147487</v>
      </c>
      <c r="C15" t="str">
        <v>CN</v>
      </c>
      <c r="D15" t="str">
        <v>CN-BJ</v>
      </c>
      <c r="F15">
        <v>58</v>
      </c>
      <c r="G15" t="str">
        <v>2022-01-01</v>
      </c>
      <c r="H15" t="str">
        <v>2022-03-31</v>
      </c>
      <c r="I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 The certificates will be created as tokens of type ERC1888-Topic1 This redemption is matched to Filecoin minerID f0147487</v>
      </c>
      <c r="J15" t="str">
        <f>IF(OR(AND(ISNUMBER(F15),F15=0),AND(AND(ISTEXT(E15),ISNUMBER(F15),ISNUMBER(G15),ISNUMBER(H15)),H15&gt;=G15)),"OK","Error or Missing Data")</f>
        <v>Error or Missing Data</v>
      </c>
    </row>
    <row r="16">
      <c r="B16" t="str">
        <v>Blockchain Network ID: 246 - Tokenization Protocol: ZL 1.0.0 - Smart Contract Address: 0x2248a8E53c8cf533AEEf2369FfF9Dc8C036c8900 - Batch ID: 5724 - Filecoin minerID f0101016</v>
      </c>
      <c r="C16" t="str">
        <v>CN</v>
      </c>
      <c r="D16" t="str">
        <v>CN-HA</v>
      </c>
      <c r="F16">
        <v>59</v>
      </c>
      <c r="G16" t="str">
        <v>2022-01-01</v>
      </c>
      <c r="H16" t="str">
        <v>2022-03-31</v>
      </c>
      <c r="I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 The certificates will be created as tokens of type ERC1888-Topic1 This redemption is matched to Filecoin minerID f0101016</v>
      </c>
      <c r="J16" t="str">
        <f>IF(OR(AND(ISNUMBER(F16),F16=0),AND(AND(ISTEXT(E16),ISNUMBER(F16),ISNUMBER(G16),ISNUMBER(H16)),H16&gt;=G16)),"OK","Error or Missing Data")</f>
        <v>Error or Missing Data</v>
      </c>
    </row>
    <row r="17">
      <c r="B17" t="str">
        <v>Blockchain Network ID: 246 - Tokenization Protocol: ZL 1.0.0 - Smart Contract Address: 0x2248a8E53c8cf533AEEf2369FfF9Dc8C036c8900 - Batch ID: 5725 - Filecoin minerID f0101017</v>
      </c>
      <c r="C17" t="str">
        <v>CN</v>
      </c>
      <c r="D17" t="str">
        <v>CN-HA</v>
      </c>
      <c r="F17">
        <v>59</v>
      </c>
      <c r="G17" t="str">
        <v>2022-01-01</v>
      </c>
      <c r="H17" t="str">
        <v>2022-03-31</v>
      </c>
      <c r="I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 The certificates will be created as tokens of type ERC1888-Topic1 This redemption is matched to Filecoin minerID f0101017</v>
      </c>
      <c r="J17" t="str">
        <f>IF(OR(AND(ISNUMBER(F17),F17=0),AND(AND(ISTEXT(E17),ISNUMBER(F17),ISNUMBER(G17),ISNUMBER(H17)),H17&gt;=G17)),"OK","Error or Missing Data")</f>
        <v>Error or Missing Data</v>
      </c>
    </row>
    <row r="18">
      <c r="B18" t="str">
        <v>Blockchain Network ID: 246 - Tokenization Protocol: ZL 1.0.0 - Smart Contract Address: 0x2248a8E53c8cf533AEEf2369FfF9Dc8C036c8900 - Batch ID: 5726 - Filecoin minerID f020330</v>
      </c>
      <c r="C18" t="str">
        <v>CN</v>
      </c>
      <c r="D18" t="str">
        <v>CN-BJ</v>
      </c>
      <c r="F18">
        <v>1164</v>
      </c>
      <c r="G18" t="str">
        <v>2022-01-01</v>
      </c>
      <c r="H18" t="str">
        <v>2022-03-31</v>
      </c>
      <c r="I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 The certificates will be created as tokens of type ERC1888-Topic1 This redemption is matched to Filecoin minerID f020330</v>
      </c>
      <c r="J18" t="str">
        <f>IF(OR(AND(ISNUMBER(F18),F18=0),AND(AND(ISTEXT(E18),ISNUMBER(F18),ISNUMBER(G18),ISNUMBER(H18)),H18&gt;=G18)),"OK","Error or Missing Data")</f>
        <v>Error or Missing Data</v>
      </c>
    </row>
    <row r="19">
      <c r="B19" t="str">
        <v>Blockchain Network ID: 246 - Tokenization Protocol: ZL 1.0.0 - Smart Contract Address: 0x2248a8E53c8cf533AEEf2369FfF9Dc8C036c8900 - Batch ID: 5727 - Filecoin minerID f01248</v>
      </c>
      <c r="C19" t="str">
        <v>CN</v>
      </c>
      <c r="D19" t="str">
        <v>CN-GD</v>
      </c>
      <c r="F19">
        <v>4416</v>
      </c>
      <c r="G19" t="str">
        <v>2022-01-01</v>
      </c>
      <c r="H19" t="str">
        <v>2022-03-31</v>
      </c>
      <c r="I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 The certificates will be created as tokens of type ERC1888-Topic1 This redemption is matched to Filecoin minerID f01248</v>
      </c>
      <c r="J19" t="str">
        <f>IF(OR(AND(ISNUMBER(F19),F19=0),AND(AND(ISTEXT(E19),ISNUMBER(F19),ISNUMBER(G19),ISNUMBER(H19)),H19&gt;=G19)),"OK","Error or Missing Data")</f>
        <v>Error or Missing Data</v>
      </c>
    </row>
    <row r="20">
      <c r="B20" t="str">
        <v>Blockchain Network ID: 246 - Tokenization Protocol: ZL 1.0.0 - Smart Contract Address: 0x2248a8E53c8cf533AEEf2369FfF9Dc8C036c8900 - Batch ID: 5728 - Filecoin minerID f0154039</v>
      </c>
      <c r="C20" t="str">
        <v>CN</v>
      </c>
      <c r="D20" t="str">
        <v>CN-GD</v>
      </c>
      <c r="F20">
        <v>4780</v>
      </c>
      <c r="G20" t="str">
        <v>2022-01-01</v>
      </c>
      <c r="H20" t="str">
        <v>2022-03-31</v>
      </c>
      <c r="I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 The certificates will be created as tokens of type ERC1888-Topic1 This redemption is matched to Filecoin minerID f0154039</v>
      </c>
      <c r="J20" t="str">
        <f>IF(OR(AND(ISNUMBER(F20),F20=0),AND(AND(ISTEXT(E20),ISNUMBER(F20),ISNUMBER(G20),ISNUMBER(H20)),H20&gt;=G20)),"OK","Error or Missing Data")</f>
        <v>Error or Missing Data</v>
      </c>
    </row>
    <row r="21">
      <c r="B21" t="str">
        <v>Blockchain Network ID: 246 - Tokenization Protocol: ZL 1.0.0 - Smart Contract Address: 0x2248a8E53c8cf533AEEf2369FfF9Dc8C036c8900 - Batch ID: 5729 - Filecoin minerID f0463143</v>
      </c>
      <c r="C21" t="str">
        <v>CN</v>
      </c>
      <c r="D21" t="str">
        <v>CN-GD</v>
      </c>
      <c r="F21">
        <v>3530</v>
      </c>
      <c r="G21" t="str">
        <v>2022-01-01</v>
      </c>
      <c r="H21" t="str">
        <v>2022-03-31</v>
      </c>
      <c r="I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 The certificates will be created as tokens of type ERC1888-Topic1 This redemption is matched to Filecoin minerID f0463143</v>
      </c>
      <c r="J21" t="str">
        <f>IF(OR(AND(ISNUMBER(F21),F21=0),AND(AND(ISTEXT(E21),ISNUMBER(F21),ISNUMBER(G21),ISNUMBER(H21)),H21&gt;=G21)),"OK","Error or Missing Data")</f>
        <v>Error or Missing Data</v>
      </c>
    </row>
    <row r="22">
      <c r="B22" t="str">
        <v>Blockchain Network ID: 246 - Tokenization Protocol: ZL 1.0.0 - Smart Contract Address: 0x2248a8E53c8cf533AEEf2369FfF9Dc8C036c8900 - Batch ID: 5730 - Filecoin minerID f034258</v>
      </c>
      <c r="C22" t="str">
        <v>CN</v>
      </c>
      <c r="D22" t="str">
        <v>CN-SC</v>
      </c>
      <c r="F22">
        <v>9</v>
      </c>
      <c r="G22" t="str">
        <v>2022-01-01</v>
      </c>
      <c r="H22" t="str">
        <v>2022-03-31</v>
      </c>
      <c r="I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 The certificates will be created as tokens of type ERC1888-Topic1 This redemption is matched to Filecoin minerID f034258</v>
      </c>
      <c r="J22" t="str">
        <f>IF(OR(AND(ISNUMBER(F22),F22=0),AND(AND(ISTEXT(E22),ISNUMBER(F22),ISNUMBER(G22),ISNUMBER(H22)),H22&gt;=G22)),"OK","Error or Missing Data")</f>
        <v>Error or Missing Data</v>
      </c>
    </row>
    <row r="23">
      <c r="B23" t="str">
        <v>Blockchain Network ID: 246 - Tokenization Protocol: ZL 1.0.0 - Smart Contract Address: 0x2248a8E53c8cf533AEEf2369FfF9Dc8C036c8900 - Batch ID: 5731 - Filecoin minerID f039940</v>
      </c>
      <c r="C23" t="str">
        <v>CN</v>
      </c>
      <c r="D23" t="str">
        <v>CN-SC</v>
      </c>
      <c r="F23">
        <v>13</v>
      </c>
      <c r="G23" t="str">
        <v>2022-01-01</v>
      </c>
      <c r="H23" t="str">
        <v>2022-03-31</v>
      </c>
      <c r="I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 The certificates will be created as tokens of type ERC1888-Topic1 This redemption is matched to Filecoin minerID f039940</v>
      </c>
      <c r="J23" t="str">
        <f>IF(OR(AND(ISNUMBER(F23),F23=0),AND(AND(ISTEXT(E23),ISNUMBER(F23),ISNUMBER(G23),ISNUMBER(H23)),H23&gt;=G23)),"OK","Error or Missing Data")</f>
        <v>Error or Missing Data</v>
      </c>
    </row>
    <row r="24">
      <c r="B24" t="str">
        <v>Blockchain Network ID: 246 - Tokenization Protocol: ZL 1.0.0 - Smart Contract Address: 0x2248a8E53c8cf533AEEf2369FfF9Dc8C036c8900 - Batch ID: 5732 - Filecoin minerID f01756683</v>
      </c>
      <c r="C24" t="str">
        <v>CN</v>
      </c>
      <c r="D24" t="str">
        <v>CN-GD</v>
      </c>
      <c r="F24">
        <v>1088</v>
      </c>
      <c r="G24" t="str">
        <v>2022-01-01</v>
      </c>
      <c r="H24" t="str">
        <v>2022-03-31</v>
      </c>
      <c r="I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 The certificates will be created as tokens of type ERC1888-Topic1 This redemption is matched to Filecoin minerID f01756683</v>
      </c>
      <c r="J24" t="str">
        <f>IF(OR(AND(ISNUMBER(F24),F24=0),AND(AND(ISTEXT(E24),ISNUMBER(F24),ISNUMBER(G24),ISNUMBER(H24)),H24&gt;=G24)),"OK","Error or Missing Data")</f>
        <v>Error or Missing Data</v>
      </c>
    </row>
    <row r="25">
      <c r="B25" t="str">
        <v>Blockchain Network ID: 246 - Tokenization Protocol: ZL 1.0.0 - Smart Contract Address: 0x2248a8E53c8cf533AEEf2369FfF9Dc8C036c8900 - Batch ID: 5733 - Filecoin minerID f02417</v>
      </c>
      <c r="C25" t="str">
        <v>CN</v>
      </c>
      <c r="D25" t="str">
        <v>CN-HE</v>
      </c>
      <c r="F25">
        <v>474</v>
      </c>
      <c r="G25" t="str">
        <v>2022-01-01</v>
      </c>
      <c r="H25" t="str">
        <v>2022-03-31</v>
      </c>
      <c r="I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 The certificates will be created as tokens of type ERC1888-Topic1 This redemption is matched to Filecoin minerID f02417</v>
      </c>
      <c r="J25" t="str">
        <f>IF(OR(AND(ISNUMBER(F25),F25=0),AND(AND(ISTEXT(E25),ISNUMBER(F25),ISNUMBER(G25),ISNUMBER(H25)),H25&gt;=G25)),"OK","Error or Missing Data")</f>
        <v>Error or Missing Data</v>
      </c>
    </row>
    <row r="26">
      <c r="B26" t="str">
        <v>Blockchain Network ID: 246 - Tokenization Protocol: ZL 1.0.0 - Smart Contract Address: 0x2248a8E53c8cf533AEEf2369FfF9Dc8C036c8900 - Batch ID: 5734 - Filecoin minerID f0142637</v>
      </c>
      <c r="C26" t="str">
        <v>CN</v>
      </c>
      <c r="D26" t="str">
        <v>CN-SC</v>
      </c>
      <c r="F26">
        <v>17</v>
      </c>
      <c r="G26" t="str">
        <v>2022-01-01</v>
      </c>
      <c r="H26" t="str">
        <v>2022-03-31</v>
      </c>
      <c r="I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 The certificates will be created as tokens of type ERC1888-Topic1 This redemption is matched to Filecoin minerID f0142637</v>
      </c>
      <c r="J26" t="str">
        <f>IF(OR(AND(ISNUMBER(F26),F26=0),AND(AND(ISTEXT(E26),ISNUMBER(F26),ISNUMBER(G26),ISNUMBER(H26)),H26&gt;=G26)),"OK","Error or Missing Data")</f>
        <v>Error or Missing Data</v>
      </c>
    </row>
    <row r="27">
      <c r="B27" t="str">
        <v>Blockchain Network ID: 246 - Tokenization Protocol: ZL 1.0.0 - Smart Contract Address: 0x2248a8E53c8cf533AEEf2369FfF9Dc8C036c8900 - Batch ID: 5735 - Filecoin minerID f0137168</v>
      </c>
      <c r="C27" t="str">
        <v>CN</v>
      </c>
      <c r="D27" t="str">
        <v>CN-BJ</v>
      </c>
      <c r="F27">
        <v>21</v>
      </c>
      <c r="G27" t="str">
        <v>2022-01-01</v>
      </c>
      <c r="H27" t="str">
        <v>2022-03-31</v>
      </c>
      <c r="I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 The certificates will be created as tokens of type ERC1888-Topic1 This redemption is matched to Filecoin minerID f0137168</v>
      </c>
      <c r="J27" t="str">
        <f>IF(OR(AND(ISNUMBER(F27),F27=0),AND(AND(ISTEXT(E27),ISNUMBER(F27),ISNUMBER(G27),ISNUMBER(H27)),H27&gt;=G27)),"OK","Error or Missing Data")</f>
        <v>Error or Missing Data</v>
      </c>
    </row>
    <row r="28">
      <c r="B28" t="str">
        <v>Blockchain Network ID: 246 - Tokenization Protocol: ZL 1.0.0 - Smart Contract Address: 0x2248a8E53c8cf533AEEf2369FfF9Dc8C036c8900 - Batch ID: 5736 - Filecoin minerID f01012</v>
      </c>
      <c r="C28" t="str">
        <v>CN</v>
      </c>
      <c r="D28" t="str">
        <v>CN-ZJ</v>
      </c>
      <c r="F28">
        <v>2403</v>
      </c>
      <c r="G28" t="str">
        <v>2022-01-01</v>
      </c>
      <c r="H28" t="str">
        <v>2022-03-31</v>
      </c>
      <c r="I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 The certificates will be created as tokens of type ERC1888-Topic1 This redemption is matched to Filecoin minerID f01012</v>
      </c>
      <c r="J28" t="str">
        <f>IF(OR(AND(ISNUMBER(F28),F28=0),AND(AND(ISTEXT(E28),ISNUMBER(F28),ISNUMBER(G28),ISNUMBER(H28)),H28&gt;=G28)),"OK","Error or Missing Data")</f>
        <v>Error or Missing Data</v>
      </c>
    </row>
    <row r="29">
      <c r="B29" t="str">
        <v>Blockchain Network ID: 246 - Tokenization Protocol: ZL 1.0.0 - Smart Contract Address: 0x2248a8E53c8cf533AEEf2369FfF9Dc8C036c8900 - Batch ID: 5737 - Filecoin minerID f01152</v>
      </c>
      <c r="C29" t="str">
        <v>CN</v>
      </c>
      <c r="D29" t="str">
        <v>CN-BJ</v>
      </c>
      <c r="F29">
        <v>15</v>
      </c>
      <c r="G29" t="str">
        <v>2022-01-01</v>
      </c>
      <c r="H29" t="str">
        <v>2022-03-31</v>
      </c>
      <c r="I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 The certificates will be created as tokens of type ERC1888-Topic1 This redemption is matched to Filecoin minerID f01152</v>
      </c>
      <c r="J29" t="str">
        <f>IF(OR(AND(ISNUMBER(F29),F29=0),AND(AND(ISTEXT(E29),ISNUMBER(F29),ISNUMBER(G29),ISNUMBER(H29)),H29&gt;=G29)),"OK","Error or Missing Data")</f>
        <v>Error or Missing Data</v>
      </c>
    </row>
    <row r="30">
      <c r="B30" t="str">
        <v>Blockchain Network ID: 246 - Tokenization Protocol: ZL 1.0.0 - Smart Contract Address: 0x2248a8E53c8cf533AEEf2369FfF9Dc8C036c8900 - Batch ID: 5738 - Filecoin minerID f01155</v>
      </c>
      <c r="C30" t="str">
        <v>CN</v>
      </c>
      <c r="D30" t="str">
        <v>CN-SH</v>
      </c>
      <c r="F30">
        <v>193</v>
      </c>
      <c r="G30" t="str">
        <v>2022-01-01</v>
      </c>
      <c r="H30" t="str">
        <v>2022-03-31</v>
      </c>
      <c r="I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 The certificates will be created as tokens of type ERC1888-Topic1 This redemption is matched to Filecoin minerID f01155</v>
      </c>
      <c r="J30" t="str">
        <f>IF(OR(AND(ISNUMBER(F30),F30=0),AND(AND(ISTEXT(E30),ISNUMBER(F30),ISNUMBER(G30),ISNUMBER(H30)),H30&gt;=G30)),"OK","Error or Missing Data")</f>
        <v>Error or Missing Data</v>
      </c>
    </row>
    <row r="31">
      <c r="B31" t="str">
        <v>Blockchain Network ID: 246 - Tokenization Protocol: ZL 1.0.0 - Smart Contract Address: 0x2248a8E53c8cf533AEEf2369FfF9Dc8C036c8900 - Batch ID: 5739 - Filecoin minerID f01231</v>
      </c>
      <c r="C31" t="str">
        <v>CN</v>
      </c>
      <c r="D31" t="str">
        <v>CN-SH</v>
      </c>
      <c r="F31">
        <v>3301</v>
      </c>
      <c r="G31" t="str">
        <v>2022-01-01</v>
      </c>
      <c r="H31" t="str">
        <v>2022-03-31</v>
      </c>
      <c r="I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 The certificates will be created as tokens of type ERC1888-Topic1 This redemption is matched to Filecoin minerID f01231</v>
      </c>
    </row>
    <row r="32">
      <c r="B32" t="str">
        <v>Blockchain Network ID: 246 - Tokenization Protocol: ZL 1.0.0 - Smart Contract Address: 0x2248a8E53c8cf533AEEf2369FfF9Dc8C036c8900 - Batch ID: 5740 - Filecoin minerID f01241</v>
      </c>
      <c r="C32" t="str">
        <v>CN</v>
      </c>
      <c r="D32" t="str">
        <v>CN-XJ</v>
      </c>
      <c r="F32">
        <v>208</v>
      </c>
      <c r="G32" t="str">
        <v>2022-01-01</v>
      </c>
      <c r="H32" t="str">
        <v>2022-03-31</v>
      </c>
      <c r="I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 The certificates will be created as tokens of type ERC1888-Topic1 This redemption is matched to Filecoin minerID f01241</v>
      </c>
    </row>
    <row r="33">
      <c r="B33" t="str">
        <v>Blockchain Network ID: 246 - Tokenization Protocol: ZL 1.0.0 - Smart Contract Address: 0x2248a8E53c8cf533AEEf2369FfF9Dc8C036c8900 - Batch ID: 5741 - Filecoin minerID f01272</v>
      </c>
      <c r="C33" t="str">
        <v>CN</v>
      </c>
      <c r="D33" t="str">
        <v>CN-JS</v>
      </c>
      <c r="F33">
        <v>1037</v>
      </c>
      <c r="G33" t="str">
        <v>2022-01-01</v>
      </c>
      <c r="H33" t="str">
        <v>2022-03-31</v>
      </c>
      <c r="I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 The certificates will be created as tokens of type ERC1888-Topic1 This redemption is matched to Filecoin minerID f01272</v>
      </c>
    </row>
    <row r="34">
      <c r="B34" t="str">
        <v>Blockchain Network ID: 246 - Tokenization Protocol: ZL 1.0.0 - Smart Contract Address: 0x2248a8E53c8cf533AEEf2369FfF9Dc8C036c8900 - Batch ID: 5742 - Filecoin minerID f01279</v>
      </c>
      <c r="C34" t="str">
        <v>CN</v>
      </c>
      <c r="D34" t="str">
        <v>CN-SC</v>
      </c>
      <c r="F34">
        <v>48</v>
      </c>
      <c r="G34" t="str">
        <v>2022-01-01</v>
      </c>
      <c r="H34" t="str">
        <v>2022-03-31</v>
      </c>
      <c r="I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 The certificates will be created as tokens of type ERC1888-Topic1 This redemption is matched to Filecoin minerID f01279</v>
      </c>
    </row>
    <row r="35">
      <c r="B35" t="str">
        <v>Blockchain Network ID: 246 - Tokenization Protocol: ZL 1.0.0 - Smart Contract Address: 0x2248a8E53c8cf533AEEf2369FfF9Dc8C036c8900 - Batch ID: 5743 - Filecoin minerID f01280</v>
      </c>
      <c r="C35" t="str">
        <v>CN</v>
      </c>
      <c r="D35" t="str">
        <v>CN-JS</v>
      </c>
      <c r="F35">
        <v>212</v>
      </c>
      <c r="G35" t="str">
        <v>2022-01-01</v>
      </c>
      <c r="H35" t="str">
        <v>2022-03-31</v>
      </c>
      <c r="I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 The certificates will be created as tokens of type ERC1888-Topic1 This redemption is matched to Filecoin minerID f01280</v>
      </c>
    </row>
    <row r="36">
      <c r="B36" t="str">
        <v>Blockchain Network ID: 246 - Tokenization Protocol: ZL 1.0.0 - Smart Contract Address: 0x2248a8E53c8cf533AEEf2369FfF9Dc8C036c8900 - Batch ID: 5744 - Filecoin minerID f01287</v>
      </c>
      <c r="C36" t="str">
        <v>CN</v>
      </c>
      <c r="D36" t="str">
        <v>CN-ZJ</v>
      </c>
      <c r="F36">
        <v>504</v>
      </c>
      <c r="G36" t="str">
        <v>2022-01-01</v>
      </c>
      <c r="H36" t="str">
        <v>2022-03-31</v>
      </c>
      <c r="I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 The certificates will be created as tokens of type ERC1888-Topic1 This redemption is matched to Filecoin minerID f01287</v>
      </c>
    </row>
    <row r="37">
      <c r="B37" t="str">
        <v>Blockchain Network ID: 246 - Tokenization Protocol: ZL 1.0.0 - Smart Contract Address: 0x2248a8E53c8cf533AEEf2369FfF9Dc8C036c8900 - Batch ID: 5745 - Filecoin minerID f01289</v>
      </c>
      <c r="C37" t="str">
        <v>CN</v>
      </c>
      <c r="D37" t="str">
        <v>CN-ZJ</v>
      </c>
      <c r="F37">
        <v>146</v>
      </c>
      <c r="G37" t="str">
        <v>2022-01-01</v>
      </c>
      <c r="H37" t="str">
        <v>2022-03-31</v>
      </c>
      <c r="I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 The certificates will be created as tokens of type ERC1888-Topic1 This redemption is matched to Filecoin minerID f01289</v>
      </c>
    </row>
    <row r="38">
      <c r="B38" t="str">
        <v>Blockchain Network ID: 246 - Tokenization Protocol: ZL 1.0.0 - Smart Contract Address: 0x2248a8E53c8cf533AEEf2369FfF9Dc8C036c8900 - Batch ID: 5746 - Filecoin minerID f01314</v>
      </c>
      <c r="C38" t="str">
        <v>CN</v>
      </c>
      <c r="D38" t="str">
        <v>CN-ZJ</v>
      </c>
      <c r="F38">
        <v>157</v>
      </c>
      <c r="G38" t="str">
        <v>2022-01-01</v>
      </c>
      <c r="H38" t="str">
        <v>2022-03-31</v>
      </c>
      <c r="I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 The certificates will be created as tokens of type ERC1888-Topic1 This redemption is matched to Filecoin minerID f01314</v>
      </c>
    </row>
    <row r="39">
      <c r="B39" t="str">
        <v>Blockchain Network ID: 246 - Tokenization Protocol: ZL 1.0.0 - Smart Contract Address: 0x2248a8E53c8cf533AEEf2369FfF9Dc8C036c8900 - Batch ID: 5747 - Filecoin minerID f01750</v>
      </c>
      <c r="C39" t="str">
        <v>CN</v>
      </c>
      <c r="D39" t="str">
        <v>CN-XJ</v>
      </c>
      <c r="F39">
        <v>2</v>
      </c>
      <c r="G39" t="str">
        <v>2022-01-01</v>
      </c>
      <c r="H39" t="str">
        <v>2022-03-31</v>
      </c>
      <c r="I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 The certificates will be created as tokens of type ERC1888-Topic1 This redemption is matched to Filecoin minerID f01750</v>
      </c>
    </row>
    <row r="40">
      <c r="B40" t="str">
        <v>Blockchain Network ID: 246 - Tokenization Protocol: ZL 1.0.0 - Smart Contract Address: 0x2248a8E53c8cf533AEEf2369FfF9Dc8C036c8900 - Batch ID: 5748 - Filecoin minerID f01782</v>
      </c>
      <c r="C40" t="str">
        <v>CN</v>
      </c>
      <c r="D40" t="str">
        <v>CN-SH</v>
      </c>
      <c r="F40">
        <v>1772</v>
      </c>
      <c r="G40" t="str">
        <v>2022-01-01</v>
      </c>
      <c r="H40" t="str">
        <v>2022-03-31</v>
      </c>
      <c r="I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 The certificates will be created as tokens of type ERC1888-Topic1 This redemption is matched to Filecoin minerID f01782</v>
      </c>
    </row>
    <row r="41">
      <c r="B41" t="str">
        <v>Blockchain Network ID: 246 - Tokenization Protocol: ZL 1.0.0 - Smart Contract Address: 0x2248a8E53c8cf533AEEf2369FfF9Dc8C036c8900 - Batch ID: 5749 - Filecoin minerID f01799</v>
      </c>
      <c r="C41" t="str">
        <v>CN</v>
      </c>
      <c r="D41" t="str">
        <v>CN-SD</v>
      </c>
      <c r="F41">
        <v>171</v>
      </c>
      <c r="G41" t="str">
        <v>2022-01-01</v>
      </c>
      <c r="H41" t="str">
        <v>2022-03-31</v>
      </c>
      <c r="I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 The certificates will be created as tokens of type ERC1888-Topic1 This redemption is matched to Filecoin minerID f01799</v>
      </c>
    </row>
    <row r="42">
      <c r="B42" t="str">
        <v>Blockchain Network ID: 246 - Tokenization Protocol: ZL 1.0.0 - Smart Contract Address: 0x2248a8E53c8cf533AEEf2369FfF9Dc8C036c8900 - Batch ID: 5750 - Filecoin minerID f01800</v>
      </c>
      <c r="C42" t="str">
        <v>CN</v>
      </c>
      <c r="D42" t="str">
        <v>CN-SC</v>
      </c>
      <c r="F42">
        <v>637</v>
      </c>
      <c r="G42" t="str">
        <v>2022-01-01</v>
      </c>
      <c r="H42" t="str">
        <v>2022-03-31</v>
      </c>
      <c r="I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 The certificates will be created as tokens of type ERC1888-Topic1 This redemption is matched to Filecoin minerID f01800</v>
      </c>
    </row>
    <row r="43">
      <c r="B43" t="str">
        <v>Blockchain Network ID: 246 - Tokenization Protocol: ZL 1.0.0 - Smart Contract Address: 0x2248a8E53c8cf533AEEf2369FfF9Dc8C036c8900 - Batch ID: 5751 - Filecoin minerID f02381</v>
      </c>
      <c r="C43" t="str">
        <v>CN</v>
      </c>
      <c r="D43" t="str">
        <v>CN-GD</v>
      </c>
      <c r="F43">
        <v>7</v>
      </c>
      <c r="G43" t="str">
        <v>2022-01-01</v>
      </c>
      <c r="H43" t="str">
        <v>2022-03-31</v>
      </c>
      <c r="I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 The certificates will be created as tokens of type ERC1888-Topic1 This redemption is matched to Filecoin minerID f02381</v>
      </c>
    </row>
    <row r="44">
      <c r="B44" t="str">
        <v>Blockchain Network ID: 246 - Tokenization Protocol: ZL 1.0.0 - Smart Contract Address: 0x2248a8E53c8cf533AEEf2369FfF9Dc8C036c8900 - Batch ID: 5752 - Filecoin minerID f02399</v>
      </c>
      <c r="C44" t="str">
        <v>CN</v>
      </c>
      <c r="D44" t="str">
        <v>CN-SH</v>
      </c>
      <c r="F44">
        <v>164</v>
      </c>
      <c r="G44" t="str">
        <v>2022-01-01</v>
      </c>
      <c r="H44" t="str">
        <v>2022-03-31</v>
      </c>
      <c r="I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 The certificates will be created as tokens of type ERC1888-Topic1 This redemption is matched to Filecoin minerID f02399</v>
      </c>
    </row>
    <row r="45">
      <c r="B45" t="str">
        <v>Blockchain Network ID: 246 - Tokenization Protocol: ZL 1.0.0 - Smart Contract Address: 0x2248a8E53c8cf533AEEf2369FfF9Dc8C036c8900 - Batch ID: 5753 - Filecoin minerID f02405</v>
      </c>
      <c r="C45" t="str">
        <v>CN</v>
      </c>
      <c r="D45" t="str">
        <v>CN-GD</v>
      </c>
      <c r="F45">
        <v>70</v>
      </c>
      <c r="G45" t="str">
        <v>2022-01-01</v>
      </c>
      <c r="H45" t="str">
        <v>2022-03-31</v>
      </c>
      <c r="I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 The certificates will be created as tokens of type ERC1888-Topic1 This redemption is matched to Filecoin minerID f02405</v>
      </c>
    </row>
    <row r="46">
      <c r="B46" t="str">
        <v>Blockchain Network ID: 246 - Tokenization Protocol: ZL 1.0.0 - Smart Contract Address: 0x2248a8E53c8cf533AEEf2369FfF9Dc8C036c8900 - Batch ID: 5754 - Filecoin minerID f02415</v>
      </c>
      <c r="C46" t="str">
        <v>CN</v>
      </c>
      <c r="D46" t="str">
        <v>CN-GD</v>
      </c>
      <c r="F46">
        <v>76</v>
      </c>
      <c r="G46" t="str">
        <v>2022-01-01</v>
      </c>
      <c r="H46" t="str">
        <v>2022-03-31</v>
      </c>
      <c r="I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 The certificates will be created as tokens of type ERC1888-Topic1 This redemption is matched to Filecoin minerID f02415</v>
      </c>
    </row>
    <row r="47">
      <c r="B47" t="str">
        <v>Blockchain Network ID: 246 - Tokenization Protocol: ZL 1.0.0 - Smart Contract Address: 0x2248a8E53c8cf533AEEf2369FfF9Dc8C036c8900 - Batch ID: 5755 - Filecoin minerID f02416</v>
      </c>
      <c r="C47" t="str">
        <v>CN</v>
      </c>
      <c r="D47" t="str">
        <v>CN-GD</v>
      </c>
      <c r="F47">
        <v>872</v>
      </c>
      <c r="G47" t="str">
        <v>2022-01-01</v>
      </c>
      <c r="H47" t="str">
        <v>2022-03-31</v>
      </c>
      <c r="I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 The certificates will be created as tokens of type ERC1888-Topic1 This redemption is matched to Filecoin minerID f02416</v>
      </c>
    </row>
    <row r="48">
      <c r="B48" t="str">
        <v>Blockchain Network ID: 246 - Tokenization Protocol: ZL 1.0.0 - Smart Contract Address: 0x2248a8E53c8cf533AEEf2369FfF9Dc8C036c8900 - Batch ID: 5756 - Filecoin minerID f02419</v>
      </c>
      <c r="C48" t="str">
        <v>CN</v>
      </c>
      <c r="D48" t="str">
        <v>CN-SH</v>
      </c>
      <c r="F48">
        <v>392</v>
      </c>
      <c r="G48" t="str">
        <v>2022-01-01</v>
      </c>
      <c r="H48" t="str">
        <v>2022-03-31</v>
      </c>
      <c r="I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 The certificates will be created as tokens of type ERC1888-Topic1 This redemption is matched to Filecoin minerID f02419</v>
      </c>
    </row>
    <row r="49">
      <c r="B49" t="str">
        <v>Blockchain Network ID: 246 - Tokenization Protocol: ZL 1.0.0 - Smart Contract Address: 0x2248a8E53c8cf533AEEf2369FfF9Dc8C036c8900 - Batch ID: 5757 - Filecoin minerID f02421</v>
      </c>
      <c r="C49" t="str">
        <v>CN</v>
      </c>
      <c r="D49" t="str">
        <v>CN-SC</v>
      </c>
      <c r="F49">
        <v>35</v>
      </c>
      <c r="G49" t="str">
        <v>2022-01-01</v>
      </c>
      <c r="H49" t="str">
        <v>2022-03-31</v>
      </c>
      <c r="I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 The certificates will be created as tokens of type ERC1888-Topic1 This redemption is matched to Filecoin minerID f02421</v>
      </c>
    </row>
    <row r="50">
      <c r="B50" t="str">
        <v>Blockchain Network ID: 246 - Tokenization Protocol: ZL 1.0.0 - Smart Contract Address: 0x2248a8E53c8cf533AEEf2369FfF9Dc8C036c8900 - Batch ID: 5758 - Filecoin minerID f02422</v>
      </c>
      <c r="C50" t="str">
        <v>CN</v>
      </c>
      <c r="D50" t="str">
        <v>CN-SN</v>
      </c>
      <c r="F50">
        <v>350</v>
      </c>
      <c r="G50" t="str">
        <v>2022-01-01</v>
      </c>
      <c r="H50" t="str">
        <v>2022-03-31</v>
      </c>
      <c r="I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 The certificates will be created as tokens of type ERC1888-Topic1 This redemption is matched to Filecoin minerID f02422</v>
      </c>
    </row>
  </sheetData>
  <pageMargins left="0.7" right="0.7" top="0.75" bottom="0.75" header="0.3" footer="0.3"/>
  <ignoredErrors>
    <ignoredError numberStoredAsText="1" sqref="A1:J50"/>
  </ignoredErrors>
</worksheet>
</file>

<file path=xl/worksheets/sheet3.xml><?xml version="1.0" encoding="utf-8"?>
<worksheet xmlns="http://schemas.openxmlformats.org/spreadsheetml/2006/main" xmlns:r="http://schemas.openxmlformats.org/officeDocument/2006/relationships">
  <dimension ref="A1:V4"/>
  <sheetViews>
    <sheetView workbookViewId="0" rightToLeft="0"/>
  </sheetViews>
  <sheetData>
    <row r="1">
      <c r="A1" t="str">
        <v>#</v>
      </c>
      <c r="B1" t="str">
        <v/>
      </c>
      <c r="C1" t="str">
        <v>code</v>
      </c>
      <c r="D1" t="str">
        <v>type</v>
      </c>
      <c r="E1" t="str">
        <v>volume</v>
      </c>
      <c r="F1" t="str">
        <v>notes</v>
      </c>
      <c r="G1" t="str">
        <v>time.date</v>
      </c>
      <c r="H1" t="str">
        <v>time.timezone_type</v>
      </c>
      <c r="I1" t="str">
        <v>time.timezone</v>
      </c>
      <c r="J1" t="str">
        <v>source_account</v>
      </c>
      <c r="K1" t="str">
        <v>destination_account</v>
      </c>
      <c r="L1" t="str">
        <v>period_start.date</v>
      </c>
      <c r="M1" t="str">
        <v>period_start.timezone_type</v>
      </c>
      <c r="N1" t="str">
        <v>period_start.timezone</v>
      </c>
      <c r="O1" t="str">
        <v>period_end.date</v>
      </c>
      <c r="P1" t="str">
        <v>period_end.timezone_type</v>
      </c>
      <c r="Q1" t="str">
        <v>period_end.timezone</v>
      </c>
      <c r="R1" t="str">
        <v>items.PARTICIPANTUSER011-2022-0107-1239-26-0.start_cert_num</v>
      </c>
      <c r="S1" t="str">
        <v>items.PARTICIPANTUSER011-2022-0107-1239-26-0.end_cert_num</v>
      </c>
      <c r="T1" t="str">
        <v>items.PARTICIPANTUSER011-2022-0107-1239-26-0.volume</v>
      </c>
      <c r="U1" t="str">
        <v>verification_url</v>
      </c>
      <c r="V1" t="str">
        <v>verification_key</v>
      </c>
    </row>
    <row r="2">
      <c r="A2" t="str">
        <v>status</v>
      </c>
      <c r="B2">
        <v>200</v>
      </c>
    </row>
    <row r="3">
      <c r="A3" t="str">
        <v>message</v>
      </c>
      <c r="B3" t="str">
        <v>Redemption executed successfully.</v>
      </c>
    </row>
    <row r="4">
      <c r="A4" t="str">
        <v>transaction</v>
      </c>
      <c r="C4" t="str">
        <v>PARTICIPANTUSER011-2022-0107-1239-25</v>
      </c>
      <c r="D4" t="str">
        <v>Redemption</v>
      </c>
      <c r="E4">
        <v>1000</v>
      </c>
      <c r="F4" t="str">
        <v/>
      </c>
      <c r="G4" t="str">
        <v>2022-01-07 12:39:25.077178</v>
      </c>
      <c r="H4">
        <v>3</v>
      </c>
      <c r="I4" t="str">
        <v>UTC</v>
      </c>
      <c r="J4" t="str">
        <v>ACCOUNTTRADE011</v>
      </c>
      <c r="K4" t="str">
        <v>ACCOUNTREDEMPTION011</v>
      </c>
      <c r="L4" t="str">
        <v>2022-01-01 12:39:25.000000</v>
      </c>
      <c r="M4">
        <v>3</v>
      </c>
      <c r="N4" t="str">
        <v>UTC</v>
      </c>
      <c r="O4" t="str">
        <v>2022-01-31 12:39:25.000000</v>
      </c>
      <c r="P4">
        <v>3</v>
      </c>
      <c r="Q4" t="str">
        <v>UTC</v>
      </c>
      <c r="R4" t="str">
        <v>0000-0000-0025-1944</v>
      </c>
      <c r="S4" t="str">
        <v>0000-0000-0025-2943</v>
      </c>
      <c r="T4" t="str">
        <v>1000</v>
      </c>
      <c r="U4" t="str">
        <v>/public/certificates/en/LsGuXdg5c8wM3zVHnt/fn25oFQ9E5q9yG/tif6wP+7gB3wclJTfrg/Zw7zhvXa/b</v>
      </c>
      <c r="V4" t="str">
        <v>15457642</v>
      </c>
    </row>
  </sheetData>
  <pageMargins left="0.7" right="0.7" top="0.75" bottom="0.75" header="0.3" footer="0.3"/>
  <ignoredErrors>
    <ignoredError numberStoredAsText="1" sqref="A1:V4"/>
  </ignoredErrors>
</worksheet>
</file>

<file path=xl/worksheets/sheet4.xml><?xml version="1.0" encoding="utf-8"?>
<worksheet xmlns="http://schemas.openxmlformats.org/spreadsheetml/2006/main" xmlns:r="http://schemas.openxmlformats.org/officeDocument/2006/relationships">
  <dimension ref="A1:D250"/>
  <sheetViews>
    <sheetView workbookViewId="0" rightToLeft="0"/>
  </sheetViews>
  <sheetData>
    <row r="1">
      <c r="A1" t="str">
        <v>Name</v>
      </c>
      <c r="B1" t="str">
        <v>ID</v>
      </c>
      <c r="C1" t="str">
        <v>ID</v>
      </c>
      <c r="D1" t="str">
        <v>Name</v>
      </c>
    </row>
    <row r="2">
      <c r="A2" t="str">
        <v>Afghanistan</v>
      </c>
      <c r="B2" t="str">
        <v>AF</v>
      </c>
      <c r="C2" t="str">
        <v>AD</v>
      </c>
      <c r="D2" t="str">
        <v>Andorra</v>
      </c>
    </row>
    <row r="3">
      <c r="A3" t="str">
        <v>Åland Islands</v>
      </c>
      <c r="B3" t="str">
        <v>AX</v>
      </c>
      <c r="C3" t="str">
        <v>AE</v>
      </c>
      <c r="D3" t="str">
        <v>United Arab Emirates</v>
      </c>
    </row>
    <row r="4">
      <c r="A4" t="str">
        <v>Albania</v>
      </c>
      <c r="B4" t="str">
        <v>AL</v>
      </c>
      <c r="C4" t="str">
        <v>AF</v>
      </c>
      <c r="D4" t="str">
        <v>Afghanistan</v>
      </c>
    </row>
    <row r="5">
      <c r="A5" t="str">
        <v>Algeria</v>
      </c>
      <c r="B5" t="str">
        <v>DZ</v>
      </c>
      <c r="C5" t="str">
        <v>AG</v>
      </c>
      <c r="D5" t="str">
        <v>Antigua and Barbuda</v>
      </c>
    </row>
    <row r="6">
      <c r="A6" t="str">
        <v>American Samoa</v>
      </c>
      <c r="B6" t="str">
        <v>AS</v>
      </c>
      <c r="C6" t="str">
        <v>AI</v>
      </c>
      <c r="D6" t="str">
        <v>Anguilla</v>
      </c>
    </row>
    <row r="7">
      <c r="A7" t="str">
        <v>Andorra</v>
      </c>
      <c r="B7" t="str">
        <v>AD</v>
      </c>
      <c r="C7" t="str">
        <v>AL</v>
      </c>
      <c r="D7" t="str">
        <v>Albania</v>
      </c>
    </row>
    <row r="8">
      <c r="A8" t="str">
        <v>Angola</v>
      </c>
      <c r="B8" t="str">
        <v>AO</v>
      </c>
      <c r="C8" t="str">
        <v>AM</v>
      </c>
      <c r="D8" t="str">
        <v>Armenia</v>
      </c>
    </row>
    <row r="9">
      <c r="A9" t="str">
        <v>Anguilla</v>
      </c>
      <c r="B9" t="str">
        <v>AI</v>
      </c>
      <c r="C9" t="str">
        <v>AO</v>
      </c>
      <c r="D9" t="str">
        <v>Angola</v>
      </c>
    </row>
    <row r="10">
      <c r="A10" t="str">
        <v>Antarctica</v>
      </c>
      <c r="B10" t="str">
        <v>AQ</v>
      </c>
      <c r="C10" t="str">
        <v>AQ</v>
      </c>
      <c r="D10" t="str">
        <v>Antarctica</v>
      </c>
    </row>
    <row r="11">
      <c r="A11" t="str">
        <v>Antigua and Barbuda</v>
      </c>
      <c r="B11" t="str">
        <v>AG</v>
      </c>
      <c r="C11" t="str">
        <v>AR</v>
      </c>
      <c r="D11" t="str">
        <v>Argentina</v>
      </c>
    </row>
    <row r="12">
      <c r="A12" t="str">
        <v>Argentina</v>
      </c>
      <c r="B12" t="str">
        <v>AR</v>
      </c>
      <c r="C12" t="str">
        <v>AS</v>
      </c>
      <c r="D12" t="str">
        <v>American Samoa</v>
      </c>
    </row>
    <row r="13">
      <c r="A13" t="str">
        <v>Armenia</v>
      </c>
      <c r="B13" t="str">
        <v>AM</v>
      </c>
      <c r="C13" t="str">
        <v>AT</v>
      </c>
      <c r="D13" t="str">
        <v>Austria</v>
      </c>
    </row>
    <row r="14">
      <c r="A14" t="str">
        <v>Aruba</v>
      </c>
      <c r="B14" t="str">
        <v>AW</v>
      </c>
      <c r="C14" t="str">
        <v>AU</v>
      </c>
      <c r="D14" t="str">
        <v>Australia</v>
      </c>
    </row>
    <row r="15">
      <c r="A15" t="str">
        <v>Australia</v>
      </c>
      <c r="B15" t="str">
        <v>AU</v>
      </c>
      <c r="C15" t="str">
        <v>AW</v>
      </c>
      <c r="D15" t="str">
        <v>Aruba</v>
      </c>
    </row>
    <row r="16">
      <c r="A16" t="str">
        <v>Austria</v>
      </c>
      <c r="B16" t="str">
        <v>AT</v>
      </c>
      <c r="C16" t="str">
        <v>AX</v>
      </c>
      <c r="D16" t="str">
        <v>Åland Islands</v>
      </c>
    </row>
    <row r="17">
      <c r="A17" t="str">
        <v>Azerbaijan</v>
      </c>
      <c r="B17" t="str">
        <v>AZ</v>
      </c>
      <c r="C17" t="str">
        <v>AZ</v>
      </c>
      <c r="D17" t="str">
        <v>Azerbaijan</v>
      </c>
    </row>
    <row r="18">
      <c r="A18" t="str">
        <v>Bahamas</v>
      </c>
      <c r="B18" t="str">
        <v>BS</v>
      </c>
      <c r="C18" t="str">
        <v>BA</v>
      </c>
      <c r="D18" t="str">
        <v>Bosnia and Herzegovina</v>
      </c>
    </row>
    <row r="19">
      <c r="A19" t="str">
        <v>Bahrain</v>
      </c>
      <c r="B19" t="str">
        <v>BH</v>
      </c>
      <c r="C19" t="str">
        <v>BB</v>
      </c>
      <c r="D19" t="str">
        <v>Barbados</v>
      </c>
    </row>
    <row r="20">
      <c r="A20" t="str">
        <v>Bangladesh</v>
      </c>
      <c r="B20" t="str">
        <v>BD</v>
      </c>
      <c r="C20" t="str">
        <v>BD</v>
      </c>
      <c r="D20" t="str">
        <v>Bangladesh</v>
      </c>
    </row>
    <row r="21">
      <c r="A21" t="str">
        <v>Barbados</v>
      </c>
      <c r="B21" t="str">
        <v>BB</v>
      </c>
      <c r="C21" t="str">
        <v>BE</v>
      </c>
      <c r="D21" t="str">
        <v>Belgium</v>
      </c>
    </row>
    <row r="22">
      <c r="A22" t="str">
        <v>Belarus</v>
      </c>
      <c r="B22" t="str">
        <v>BY</v>
      </c>
      <c r="C22" t="str">
        <v>BF</v>
      </c>
      <c r="D22" t="str">
        <v>Burkina Faso</v>
      </c>
    </row>
    <row r="23">
      <c r="A23" t="str">
        <v>Belgium</v>
      </c>
      <c r="B23" t="str">
        <v>BE</v>
      </c>
      <c r="C23" t="str">
        <v>BG</v>
      </c>
      <c r="D23" t="str">
        <v>Bulgaria</v>
      </c>
    </row>
    <row r="24">
      <c r="A24" t="str">
        <v>Belize</v>
      </c>
      <c r="B24" t="str">
        <v>BZ</v>
      </c>
      <c r="C24" t="str">
        <v>BH</v>
      </c>
      <c r="D24" t="str">
        <v>Bahrain</v>
      </c>
    </row>
    <row r="25">
      <c r="A25" t="str">
        <v>Benin</v>
      </c>
      <c r="B25" t="str">
        <v>BJ</v>
      </c>
      <c r="C25" t="str">
        <v>BI</v>
      </c>
      <c r="D25" t="str">
        <v>Burundi</v>
      </c>
    </row>
    <row r="26">
      <c r="A26" t="str">
        <v>Bermuda</v>
      </c>
      <c r="B26" t="str">
        <v>BM</v>
      </c>
      <c r="C26" t="str">
        <v>BJ</v>
      </c>
      <c r="D26" t="str">
        <v>Benin</v>
      </c>
    </row>
    <row r="27">
      <c r="A27" t="str">
        <v>Bhutan</v>
      </c>
      <c r="B27" t="str">
        <v>BT</v>
      </c>
      <c r="C27" t="str">
        <v>BL</v>
      </c>
      <c r="D27" t="str">
        <v>Saint Barthélemy</v>
      </c>
    </row>
    <row r="28">
      <c r="A28" t="str">
        <v>Bolivia (Plurinational State of)</v>
      </c>
      <c r="B28" t="str">
        <v>BO</v>
      </c>
      <c r="C28" t="str">
        <v>BM</v>
      </c>
      <c r="D28" t="str">
        <v>Bermuda</v>
      </c>
    </row>
    <row r="29">
      <c r="A29" t="str">
        <v>Bonaire, Sint Eustatius and Saba</v>
      </c>
      <c r="B29" t="str">
        <v>BQ</v>
      </c>
      <c r="C29" t="str">
        <v>BN</v>
      </c>
      <c r="D29" t="str">
        <v>Brunei Darussalam</v>
      </c>
    </row>
    <row r="30">
      <c r="A30" t="str">
        <v>Bosnia and Herzegovina</v>
      </c>
      <c r="B30" t="str">
        <v>BA</v>
      </c>
      <c r="C30" t="str">
        <v>BO</v>
      </c>
      <c r="D30" t="str">
        <v>Bolivia (Plurinational State of)</v>
      </c>
    </row>
    <row r="31">
      <c r="A31" t="str">
        <v>Botswana</v>
      </c>
      <c r="B31" t="str">
        <v>BW</v>
      </c>
      <c r="C31" t="str">
        <v>BQ</v>
      </c>
      <c r="D31" t="str">
        <v>Bonaire, Sint Eustatius and Saba</v>
      </c>
    </row>
    <row r="32">
      <c r="A32" t="str">
        <v>Bouvet Island</v>
      </c>
      <c r="B32" t="str">
        <v>BV</v>
      </c>
      <c r="C32" t="str">
        <v>BR</v>
      </c>
      <c r="D32" t="str">
        <v>Brazil</v>
      </c>
    </row>
    <row r="33">
      <c r="A33" t="str">
        <v>Brazil</v>
      </c>
      <c r="B33" t="str">
        <v>BR</v>
      </c>
      <c r="C33" t="str">
        <v>BS</v>
      </c>
      <c r="D33" t="str">
        <v>Bahamas</v>
      </c>
    </row>
    <row r="34">
      <c r="A34" t="str">
        <v>British Indian Ocean Territory</v>
      </c>
      <c r="B34" t="str">
        <v>IO</v>
      </c>
      <c r="C34" t="str">
        <v>BT</v>
      </c>
      <c r="D34" t="str">
        <v>Bhutan</v>
      </c>
    </row>
    <row r="35">
      <c r="A35" t="str">
        <v>Brunei Darussalam</v>
      </c>
      <c r="B35" t="str">
        <v>BN</v>
      </c>
      <c r="C35" t="str">
        <v>BV</v>
      </c>
      <c r="D35" t="str">
        <v>Bouvet Island</v>
      </c>
    </row>
    <row r="36">
      <c r="A36" t="str">
        <v>Bulgaria</v>
      </c>
      <c r="B36" t="str">
        <v>BG</v>
      </c>
      <c r="C36" t="str">
        <v>BW</v>
      </c>
      <c r="D36" t="str">
        <v>Botswana</v>
      </c>
    </row>
    <row r="37">
      <c r="A37" t="str">
        <v>Burkina Faso</v>
      </c>
      <c r="B37" t="str">
        <v>BF</v>
      </c>
      <c r="C37" t="str">
        <v>BY</v>
      </c>
      <c r="D37" t="str">
        <v>Belarus</v>
      </c>
    </row>
    <row r="38">
      <c r="A38" t="str">
        <v>Burundi</v>
      </c>
      <c r="B38" t="str">
        <v>BI</v>
      </c>
      <c r="C38" t="str">
        <v>BZ</v>
      </c>
      <c r="D38" t="str">
        <v>Belize</v>
      </c>
    </row>
    <row r="39">
      <c r="A39" t="str">
        <v>Cabo Verde</v>
      </c>
      <c r="B39" t="str">
        <v>CV</v>
      </c>
      <c r="C39" t="str">
        <v>CA</v>
      </c>
      <c r="D39" t="str">
        <v>Canada</v>
      </c>
    </row>
    <row r="40">
      <c r="A40" t="str">
        <v>Cambodia</v>
      </c>
      <c r="B40" t="str">
        <v>KH</v>
      </c>
      <c r="C40" t="str">
        <v>CC</v>
      </c>
      <c r="D40" t="str">
        <v>Cocos (Keeling) Islands</v>
      </c>
    </row>
    <row r="41">
      <c r="A41" t="str">
        <v>Cameroon</v>
      </c>
      <c r="B41" t="str">
        <v>CM</v>
      </c>
      <c r="C41" t="str">
        <v>CD</v>
      </c>
      <c r="D41" t="str">
        <v>Congo, Democratic Republic of the</v>
      </c>
    </row>
    <row r="42">
      <c r="A42" t="str">
        <v>Canada</v>
      </c>
      <c r="B42" t="str">
        <v>CA</v>
      </c>
      <c r="C42" t="str">
        <v>CF</v>
      </c>
      <c r="D42" t="str">
        <v>Central African Republic</v>
      </c>
    </row>
    <row r="43">
      <c r="A43" t="str">
        <v>Cayman Islands</v>
      </c>
      <c r="B43" t="str">
        <v>KY</v>
      </c>
      <c r="C43" t="str">
        <v>CG</v>
      </c>
      <c r="D43" t="str">
        <v>Congo</v>
      </c>
    </row>
    <row r="44">
      <c r="A44" t="str">
        <v>Central African Republic</v>
      </c>
      <c r="B44" t="str">
        <v>CF</v>
      </c>
      <c r="C44" t="str">
        <v>CH</v>
      </c>
      <c r="D44" t="str">
        <v>Switzerland</v>
      </c>
    </row>
    <row r="45">
      <c r="A45" t="str">
        <v>Chad</v>
      </c>
      <c r="B45" t="str">
        <v>TD</v>
      </c>
      <c r="C45" t="str">
        <v>CI</v>
      </c>
      <c r="D45" t="str">
        <v>Côte d'Ivoire</v>
      </c>
    </row>
    <row r="46">
      <c r="A46" t="str">
        <v>Chile</v>
      </c>
      <c r="B46" t="str">
        <v>CL</v>
      </c>
      <c r="C46" t="str">
        <v>CK</v>
      </c>
      <c r="D46" t="str">
        <v>Cook Islands</v>
      </c>
    </row>
    <row r="47">
      <c r="A47" t="str">
        <v>China</v>
      </c>
      <c r="B47" t="str">
        <v>CN</v>
      </c>
      <c r="C47" t="str">
        <v>CL</v>
      </c>
      <c r="D47" t="str">
        <v>Chile</v>
      </c>
    </row>
    <row r="48">
      <c r="A48" t="str">
        <v>Christmas Island</v>
      </c>
      <c r="B48" t="str">
        <v>CX</v>
      </c>
      <c r="C48" t="str">
        <v>CM</v>
      </c>
      <c r="D48" t="str">
        <v>Cameroon</v>
      </c>
    </row>
    <row r="49">
      <c r="A49" t="str">
        <v>Cocos (Keeling) Islands</v>
      </c>
      <c r="B49" t="str">
        <v>CC</v>
      </c>
      <c r="C49" t="str">
        <v>CN</v>
      </c>
      <c r="D49" t="str">
        <v>China</v>
      </c>
    </row>
    <row r="50">
      <c r="A50" t="str">
        <v>Colombia</v>
      </c>
      <c r="B50" t="str">
        <v>CO</v>
      </c>
      <c r="C50" t="str">
        <v>CO</v>
      </c>
      <c r="D50" t="str">
        <v>Colombia</v>
      </c>
    </row>
    <row r="51">
      <c r="A51" t="str">
        <v>Comoros</v>
      </c>
      <c r="B51" t="str">
        <v>KM</v>
      </c>
      <c r="C51" t="str">
        <v>CR</v>
      </c>
      <c r="D51" t="str">
        <v>Costa Rica</v>
      </c>
    </row>
    <row r="52">
      <c r="A52" t="str">
        <v>Congo</v>
      </c>
      <c r="B52" t="str">
        <v>CG</v>
      </c>
      <c r="C52" t="str">
        <v>CU</v>
      </c>
      <c r="D52" t="str">
        <v>Cuba</v>
      </c>
    </row>
    <row r="53">
      <c r="A53" t="str">
        <v>Congo, Democratic Republic of the</v>
      </c>
      <c r="B53" t="str">
        <v>CD</v>
      </c>
      <c r="C53" t="str">
        <v>CV</v>
      </c>
      <c r="D53" t="str">
        <v>Cabo Verde</v>
      </c>
    </row>
    <row r="54">
      <c r="A54" t="str">
        <v>Cook Islands</v>
      </c>
      <c r="B54" t="str">
        <v>CK</v>
      </c>
      <c r="C54" t="str">
        <v>CW</v>
      </c>
      <c r="D54" t="str">
        <v>Curaçao</v>
      </c>
    </row>
    <row r="55">
      <c r="A55" t="str">
        <v>Costa Rica</v>
      </c>
      <c r="B55" t="str">
        <v>CR</v>
      </c>
      <c r="C55" t="str">
        <v>CX</v>
      </c>
      <c r="D55" t="str">
        <v>Christmas Island</v>
      </c>
    </row>
    <row r="56">
      <c r="A56" t="str">
        <v>Côte d'Ivoire</v>
      </c>
      <c r="B56" t="str">
        <v>CI</v>
      </c>
      <c r="C56" t="str">
        <v>CY</v>
      </c>
      <c r="D56" t="str">
        <v>Cyprus</v>
      </c>
    </row>
    <row r="57">
      <c r="A57" t="str">
        <v>Croatia</v>
      </c>
      <c r="B57" t="str">
        <v>HR</v>
      </c>
      <c r="C57" t="str">
        <v>CZ</v>
      </c>
      <c r="D57" t="str">
        <v>Czechia</v>
      </c>
    </row>
    <row r="58">
      <c r="A58" t="str">
        <v>Cuba</v>
      </c>
      <c r="B58" t="str">
        <v>CU</v>
      </c>
      <c r="C58" t="str">
        <v>DE</v>
      </c>
      <c r="D58" t="str">
        <v>Germany</v>
      </c>
    </row>
    <row r="59">
      <c r="A59" t="str">
        <v>Curaçao</v>
      </c>
      <c r="B59" t="str">
        <v>CW</v>
      </c>
      <c r="C59" t="str">
        <v>DJ</v>
      </c>
      <c r="D59" t="str">
        <v>Djibouti</v>
      </c>
    </row>
    <row r="60">
      <c r="A60" t="str">
        <v>Cyprus</v>
      </c>
      <c r="B60" t="str">
        <v>CY</v>
      </c>
      <c r="C60" t="str">
        <v>DK</v>
      </c>
      <c r="D60" t="str">
        <v>Denmark</v>
      </c>
    </row>
    <row r="61">
      <c r="A61" t="str">
        <v>Czechia</v>
      </c>
      <c r="B61" t="str">
        <v>CZ</v>
      </c>
      <c r="C61" t="str">
        <v>DM</v>
      </c>
      <c r="D61" t="str">
        <v>Dominica</v>
      </c>
    </row>
    <row r="62">
      <c r="A62" t="str">
        <v>Denmark</v>
      </c>
      <c r="B62" t="str">
        <v>DK</v>
      </c>
      <c r="C62" t="str">
        <v>DO</v>
      </c>
      <c r="D62" t="str">
        <v>Dominican Republic</v>
      </c>
    </row>
    <row r="63">
      <c r="A63" t="str">
        <v>Djibouti</v>
      </c>
      <c r="B63" t="str">
        <v>DJ</v>
      </c>
      <c r="C63" t="str">
        <v>DZ</v>
      </c>
      <c r="D63" t="str">
        <v>Algeria</v>
      </c>
    </row>
    <row r="64">
      <c r="A64" t="str">
        <v>Dominica</v>
      </c>
      <c r="B64" t="str">
        <v>DM</v>
      </c>
      <c r="C64" t="str">
        <v>EC</v>
      </c>
      <c r="D64" t="str">
        <v>Ecuador</v>
      </c>
    </row>
    <row r="65">
      <c r="A65" t="str">
        <v>Dominican Republic</v>
      </c>
      <c r="B65" t="str">
        <v>DO</v>
      </c>
      <c r="C65" t="str">
        <v>EE</v>
      </c>
      <c r="D65" t="str">
        <v>Estonia</v>
      </c>
    </row>
    <row r="66">
      <c r="A66" t="str">
        <v>Ecuador</v>
      </c>
      <c r="B66" t="str">
        <v>EC</v>
      </c>
      <c r="C66" t="str">
        <v>EG</v>
      </c>
      <c r="D66" t="str">
        <v>Egypt</v>
      </c>
    </row>
    <row r="67">
      <c r="A67" t="str">
        <v>Egypt</v>
      </c>
      <c r="B67" t="str">
        <v>EG</v>
      </c>
      <c r="C67" t="str">
        <v>EH</v>
      </c>
      <c r="D67" t="str">
        <v>Western Sahara</v>
      </c>
    </row>
    <row r="68">
      <c r="A68" t="str">
        <v>El Salvador</v>
      </c>
      <c r="B68" t="str">
        <v>SV</v>
      </c>
      <c r="C68" t="str">
        <v>ER</v>
      </c>
      <c r="D68" t="str">
        <v>Eritrea</v>
      </c>
    </row>
    <row r="69">
      <c r="A69" t="str">
        <v>Equatorial Guinea</v>
      </c>
      <c r="B69" t="str">
        <v>GQ</v>
      </c>
      <c r="C69" t="str">
        <v>ES</v>
      </c>
      <c r="D69" t="str">
        <v>Spain</v>
      </c>
    </row>
    <row r="70">
      <c r="A70" t="str">
        <v>Eritrea</v>
      </c>
      <c r="B70" t="str">
        <v>ER</v>
      </c>
      <c r="C70" t="str">
        <v>ET</v>
      </c>
      <c r="D70" t="str">
        <v>Ethiopia</v>
      </c>
    </row>
    <row r="71">
      <c r="A71" t="str">
        <v>Estonia</v>
      </c>
      <c r="B71" t="str">
        <v>EE</v>
      </c>
      <c r="C71" t="str">
        <v>FI</v>
      </c>
      <c r="D71" t="str">
        <v>Finland</v>
      </c>
    </row>
    <row r="72">
      <c r="A72" t="str">
        <v>Eswatini</v>
      </c>
      <c r="B72" t="str">
        <v>SZ</v>
      </c>
      <c r="C72" t="str">
        <v>FJ</v>
      </c>
      <c r="D72" t="str">
        <v>Fiji</v>
      </c>
    </row>
    <row r="73">
      <c r="A73" t="str">
        <v>Ethiopia</v>
      </c>
      <c r="B73" t="str">
        <v>ET</v>
      </c>
      <c r="C73" t="str">
        <v>FK</v>
      </c>
      <c r="D73" t="str">
        <v>Falkland Islands (Malvinas)</v>
      </c>
    </row>
    <row r="74">
      <c r="A74" t="str">
        <v>Falkland Islands (Malvinas)</v>
      </c>
      <c r="B74" t="str">
        <v>FK</v>
      </c>
      <c r="C74" t="str">
        <v>FM</v>
      </c>
      <c r="D74" t="str">
        <v>Micronesia (Federated States of)</v>
      </c>
    </row>
    <row r="75">
      <c r="A75" t="str">
        <v>Faroe Islands</v>
      </c>
      <c r="B75" t="str">
        <v>FO</v>
      </c>
      <c r="C75" t="str">
        <v>FO</v>
      </c>
      <c r="D75" t="str">
        <v>Faroe Islands</v>
      </c>
    </row>
    <row r="76">
      <c r="A76" t="str">
        <v>Fiji</v>
      </c>
      <c r="B76" t="str">
        <v>FJ</v>
      </c>
      <c r="C76" t="str">
        <v>FR</v>
      </c>
      <c r="D76" t="str">
        <v>France</v>
      </c>
    </row>
    <row r="77">
      <c r="A77" t="str">
        <v>Finland</v>
      </c>
      <c r="B77" t="str">
        <v>FI</v>
      </c>
      <c r="C77" t="str">
        <v>GA</v>
      </c>
      <c r="D77" t="str">
        <v>Gabon</v>
      </c>
    </row>
    <row r="78">
      <c r="A78" t="str">
        <v>France</v>
      </c>
      <c r="B78" t="str">
        <v>FR</v>
      </c>
      <c r="C78" t="str">
        <v>GB</v>
      </c>
      <c r="D78" t="str">
        <v>United Kingdom of Great Britain and Northern Ireland</v>
      </c>
    </row>
    <row r="79">
      <c r="A79" t="str">
        <v>French Guiana</v>
      </c>
      <c r="B79" t="str">
        <v>GF</v>
      </c>
      <c r="C79" t="str">
        <v>GD</v>
      </c>
      <c r="D79" t="str">
        <v>Grenada</v>
      </c>
    </row>
    <row r="80">
      <c r="A80" t="str">
        <v>French Polynesia</v>
      </c>
      <c r="B80" t="str">
        <v>PF</v>
      </c>
      <c r="C80" t="str">
        <v>GE</v>
      </c>
      <c r="D80" t="str">
        <v>Georgia</v>
      </c>
    </row>
    <row r="81">
      <c r="A81" t="str">
        <v>French Southern Territories</v>
      </c>
      <c r="B81" t="str">
        <v>TF</v>
      </c>
      <c r="C81" t="str">
        <v>GF</v>
      </c>
      <c r="D81" t="str">
        <v>French Guiana</v>
      </c>
    </row>
    <row r="82">
      <c r="A82" t="str">
        <v>Gabon</v>
      </c>
      <c r="B82" t="str">
        <v>GA</v>
      </c>
      <c r="C82" t="str">
        <v>GG</v>
      </c>
      <c r="D82" t="str">
        <v>Guernsey</v>
      </c>
    </row>
    <row r="83">
      <c r="A83" t="str">
        <v>Gambia</v>
      </c>
      <c r="B83" t="str">
        <v>GM</v>
      </c>
      <c r="C83" t="str">
        <v>GH</v>
      </c>
      <c r="D83" t="str">
        <v>Ghana</v>
      </c>
    </row>
    <row r="84">
      <c r="A84" t="str">
        <v>Georgia</v>
      </c>
      <c r="B84" t="str">
        <v>GE</v>
      </c>
      <c r="C84" t="str">
        <v>GI</v>
      </c>
      <c r="D84" t="str">
        <v>Gibraltar</v>
      </c>
    </row>
    <row r="85">
      <c r="A85" t="str">
        <v>Germany</v>
      </c>
      <c r="B85" t="str">
        <v>DE</v>
      </c>
      <c r="C85" t="str">
        <v>GL</v>
      </c>
      <c r="D85" t="str">
        <v>Greenland</v>
      </c>
    </row>
    <row r="86">
      <c r="A86" t="str">
        <v>Ghana</v>
      </c>
      <c r="B86" t="str">
        <v>GH</v>
      </c>
      <c r="C86" t="str">
        <v>GM</v>
      </c>
      <c r="D86" t="str">
        <v>Gambia</v>
      </c>
    </row>
    <row r="87">
      <c r="A87" t="str">
        <v>Gibraltar</v>
      </c>
      <c r="B87" t="str">
        <v>GI</v>
      </c>
      <c r="C87" t="str">
        <v>GN</v>
      </c>
      <c r="D87" t="str">
        <v>Guinea</v>
      </c>
    </row>
    <row r="88">
      <c r="A88" t="str">
        <v>Greece</v>
      </c>
      <c r="B88" t="str">
        <v>GR</v>
      </c>
      <c r="C88" t="str">
        <v>GP</v>
      </c>
      <c r="D88" t="str">
        <v>Guadeloupe</v>
      </c>
    </row>
    <row r="89">
      <c r="A89" t="str">
        <v>Greenland</v>
      </c>
      <c r="B89" t="str">
        <v>GL</v>
      </c>
      <c r="C89" t="str">
        <v>GQ</v>
      </c>
      <c r="D89" t="str">
        <v>Equatorial Guinea</v>
      </c>
    </row>
    <row r="90">
      <c r="A90" t="str">
        <v>Grenada</v>
      </c>
      <c r="B90" t="str">
        <v>GD</v>
      </c>
      <c r="C90" t="str">
        <v>GR</v>
      </c>
      <c r="D90" t="str">
        <v>Greece</v>
      </c>
    </row>
    <row r="91">
      <c r="A91" t="str">
        <v>Guadeloupe</v>
      </c>
      <c r="B91" t="str">
        <v>GP</v>
      </c>
      <c r="C91" t="str">
        <v>GS</v>
      </c>
      <c r="D91" t="str">
        <v>South Georgia and the South Sandwich Islands</v>
      </c>
    </row>
    <row r="92">
      <c r="A92" t="str">
        <v>Guam</v>
      </c>
      <c r="B92" t="str">
        <v>GU</v>
      </c>
      <c r="C92" t="str">
        <v>GT</v>
      </c>
      <c r="D92" t="str">
        <v>Guatemala</v>
      </c>
    </row>
    <row r="93">
      <c r="A93" t="str">
        <v>Guatemala</v>
      </c>
      <c r="B93" t="str">
        <v>GT</v>
      </c>
      <c r="C93" t="str">
        <v>GU</v>
      </c>
      <c r="D93" t="str">
        <v>Guam</v>
      </c>
    </row>
    <row r="94">
      <c r="A94" t="str">
        <v>Guernsey</v>
      </c>
      <c r="B94" t="str">
        <v>GG</v>
      </c>
      <c r="C94" t="str">
        <v>GW</v>
      </c>
      <c r="D94" t="str">
        <v>Guinea-Bissau</v>
      </c>
    </row>
    <row r="95">
      <c r="A95" t="str">
        <v>Guinea</v>
      </c>
      <c r="B95" t="str">
        <v>GN</v>
      </c>
      <c r="C95" t="str">
        <v>GY</v>
      </c>
      <c r="D95" t="str">
        <v>Guyana</v>
      </c>
    </row>
    <row r="96">
      <c r="A96" t="str">
        <v>Guinea-Bissau</v>
      </c>
      <c r="B96" t="str">
        <v>GW</v>
      </c>
      <c r="C96" t="str">
        <v>HK</v>
      </c>
      <c r="D96" t="str">
        <v>Hong Kong</v>
      </c>
    </row>
    <row r="97">
      <c r="A97" t="str">
        <v>Guyana</v>
      </c>
      <c r="B97" t="str">
        <v>GY</v>
      </c>
      <c r="C97" t="str">
        <v>HM</v>
      </c>
      <c r="D97" t="str">
        <v>Heard Island and McDonald Islands</v>
      </c>
    </row>
    <row r="98">
      <c r="A98" t="str">
        <v>Haiti</v>
      </c>
      <c r="B98" t="str">
        <v>HT</v>
      </c>
      <c r="C98" t="str">
        <v>HN</v>
      </c>
      <c r="D98" t="str">
        <v>Honduras</v>
      </c>
    </row>
    <row r="99">
      <c r="A99" t="str">
        <v>Heard Island and McDonald Islands</v>
      </c>
      <c r="B99" t="str">
        <v>HM</v>
      </c>
      <c r="C99" t="str">
        <v>HR</v>
      </c>
      <c r="D99" t="str">
        <v>Croatia</v>
      </c>
    </row>
    <row r="100">
      <c r="A100" t="str">
        <v>Holy See</v>
      </c>
      <c r="B100" t="str">
        <v>VA</v>
      </c>
      <c r="C100" t="str">
        <v>HT</v>
      </c>
      <c r="D100" t="str">
        <v>Haiti</v>
      </c>
    </row>
    <row r="101">
      <c r="A101" t="str">
        <v>Honduras</v>
      </c>
      <c r="B101" t="str">
        <v>HN</v>
      </c>
      <c r="C101" t="str">
        <v>HU</v>
      </c>
      <c r="D101" t="str">
        <v>Hungary</v>
      </c>
    </row>
    <row r="102">
      <c r="A102" t="str">
        <v>Hong Kong</v>
      </c>
      <c r="B102" t="str">
        <v>HK</v>
      </c>
      <c r="C102" t="str">
        <v>ID</v>
      </c>
      <c r="D102" t="str">
        <v>Indonesia</v>
      </c>
    </row>
    <row r="103">
      <c r="A103" t="str">
        <v>Hungary</v>
      </c>
      <c r="B103" t="str">
        <v>HU</v>
      </c>
      <c r="C103" t="str">
        <v>IE</v>
      </c>
      <c r="D103" t="str">
        <v>Ireland</v>
      </c>
    </row>
    <row r="104">
      <c r="A104" t="str">
        <v>Iceland</v>
      </c>
      <c r="B104" t="str">
        <v>IS</v>
      </c>
      <c r="C104" t="str">
        <v>IL</v>
      </c>
      <c r="D104" t="str">
        <v>Israel</v>
      </c>
    </row>
    <row r="105">
      <c r="A105" t="str">
        <v>India</v>
      </c>
      <c r="B105" t="str">
        <v>IN</v>
      </c>
      <c r="C105" t="str">
        <v>IM</v>
      </c>
      <c r="D105" t="str">
        <v>Isle of Man</v>
      </c>
    </row>
    <row r="106">
      <c r="A106" t="str">
        <v>Indonesia</v>
      </c>
      <c r="B106" t="str">
        <v>ID</v>
      </c>
      <c r="C106" t="str">
        <v>IN</v>
      </c>
      <c r="D106" t="str">
        <v>India</v>
      </c>
    </row>
    <row r="107">
      <c r="A107" t="str">
        <v>Iran (Islamic Republic of)</v>
      </c>
      <c r="B107" t="str">
        <v>IR</v>
      </c>
      <c r="C107" t="str">
        <v>IO</v>
      </c>
      <c r="D107" t="str">
        <v>British Indian Ocean Territory</v>
      </c>
    </row>
    <row r="108">
      <c r="A108" t="str">
        <v>Iraq</v>
      </c>
      <c r="B108" t="str">
        <v>IQ</v>
      </c>
      <c r="C108" t="str">
        <v>IQ</v>
      </c>
      <c r="D108" t="str">
        <v>Iraq</v>
      </c>
    </row>
    <row r="109">
      <c r="A109" t="str">
        <v>Ireland</v>
      </c>
      <c r="B109" t="str">
        <v>IE</v>
      </c>
      <c r="C109" t="str">
        <v>IR</v>
      </c>
      <c r="D109" t="str">
        <v>Iran (Islamic Republic of)</v>
      </c>
    </row>
    <row r="110">
      <c r="A110" t="str">
        <v>Isle of Man</v>
      </c>
      <c r="B110" t="str">
        <v>IM</v>
      </c>
      <c r="C110" t="str">
        <v>IS</v>
      </c>
      <c r="D110" t="str">
        <v>Iceland</v>
      </c>
    </row>
    <row r="111">
      <c r="A111" t="str">
        <v>Israel</v>
      </c>
      <c r="B111" t="str">
        <v>IL</v>
      </c>
      <c r="C111" t="str">
        <v>IT</v>
      </c>
      <c r="D111" t="str">
        <v>Italy</v>
      </c>
    </row>
    <row r="112">
      <c r="A112" t="str">
        <v>Italy</v>
      </c>
      <c r="B112" t="str">
        <v>IT</v>
      </c>
      <c r="C112" t="str">
        <v>JE</v>
      </c>
      <c r="D112" t="str">
        <v>Jersey</v>
      </c>
    </row>
    <row r="113">
      <c r="A113" t="str">
        <v>Jamaica</v>
      </c>
      <c r="B113" t="str">
        <v>JM</v>
      </c>
      <c r="C113" t="str">
        <v>JM</v>
      </c>
      <c r="D113" t="str">
        <v>Jamaica</v>
      </c>
    </row>
    <row r="114">
      <c r="A114" t="str">
        <v>Japan</v>
      </c>
      <c r="B114" t="str">
        <v>JP</v>
      </c>
      <c r="C114" t="str">
        <v>JO</v>
      </c>
      <c r="D114" t="str">
        <v>Jordan</v>
      </c>
    </row>
    <row r="115">
      <c r="A115" t="str">
        <v>Jersey</v>
      </c>
      <c r="B115" t="str">
        <v>JE</v>
      </c>
      <c r="C115" t="str">
        <v>JP</v>
      </c>
      <c r="D115" t="str">
        <v>Japan</v>
      </c>
    </row>
    <row r="116">
      <c r="A116" t="str">
        <v>Jordan</v>
      </c>
      <c r="B116" t="str">
        <v>JO</v>
      </c>
      <c r="C116" t="str">
        <v>KE</v>
      </c>
      <c r="D116" t="str">
        <v>Kenya</v>
      </c>
    </row>
    <row r="117">
      <c r="A117" t="str">
        <v>Kazakhstan</v>
      </c>
      <c r="B117" t="str">
        <v>KZ</v>
      </c>
      <c r="C117" t="str">
        <v>KG</v>
      </c>
      <c r="D117" t="str">
        <v>Kyrgyzstan</v>
      </c>
    </row>
    <row r="118">
      <c r="A118" t="str">
        <v>Kenya</v>
      </c>
      <c r="B118" t="str">
        <v>KE</v>
      </c>
      <c r="C118" t="str">
        <v>KH</v>
      </c>
      <c r="D118" t="str">
        <v>Cambodia</v>
      </c>
    </row>
    <row r="119">
      <c r="A119" t="str">
        <v>Kiribati</v>
      </c>
      <c r="B119" t="str">
        <v>KI</v>
      </c>
      <c r="C119" t="str">
        <v>KI</v>
      </c>
      <c r="D119" t="str">
        <v>Kiribati</v>
      </c>
    </row>
    <row r="120">
      <c r="A120" t="str">
        <v>Korea (Democratic People's Republic of)</v>
      </c>
      <c r="B120" t="str">
        <v>KP</v>
      </c>
      <c r="C120" t="str">
        <v>KM</v>
      </c>
      <c r="D120" t="str">
        <v>Comoros</v>
      </c>
    </row>
    <row r="121">
      <c r="A121" t="str">
        <v>Korea, Republic of</v>
      </c>
      <c r="B121" t="str">
        <v>KR</v>
      </c>
      <c r="C121" t="str">
        <v>KN</v>
      </c>
      <c r="D121" t="str">
        <v>Saint Kitts and Nevis</v>
      </c>
    </row>
    <row r="122">
      <c r="A122" t="str">
        <v>Kuwait</v>
      </c>
      <c r="B122" t="str">
        <v>KW</v>
      </c>
      <c r="C122" t="str">
        <v>KP</v>
      </c>
      <c r="D122" t="str">
        <v>Korea (Democratic People's Republic of)</v>
      </c>
    </row>
    <row r="123">
      <c r="A123" t="str">
        <v>Kyrgyzstan</v>
      </c>
      <c r="B123" t="str">
        <v>KG</v>
      </c>
      <c r="C123" t="str">
        <v>KR</v>
      </c>
      <c r="D123" t="str">
        <v>Korea, Republic of</v>
      </c>
    </row>
    <row r="124">
      <c r="A124" t="str">
        <v>Lao People's Democratic Republic</v>
      </c>
      <c r="B124" t="str">
        <v>LA</v>
      </c>
      <c r="C124" t="str">
        <v>KW</v>
      </c>
      <c r="D124" t="str">
        <v>Kuwait</v>
      </c>
    </row>
    <row r="125">
      <c r="A125" t="str">
        <v>Latvia</v>
      </c>
      <c r="B125" t="str">
        <v>LV</v>
      </c>
      <c r="C125" t="str">
        <v>KY</v>
      </c>
      <c r="D125" t="str">
        <v>Cayman Islands</v>
      </c>
    </row>
    <row r="126">
      <c r="A126" t="str">
        <v>Lebanon</v>
      </c>
      <c r="B126" t="str">
        <v>LB</v>
      </c>
      <c r="C126" t="str">
        <v>KZ</v>
      </c>
      <c r="D126" t="str">
        <v>Kazakhstan</v>
      </c>
    </row>
    <row r="127">
      <c r="A127" t="str">
        <v>Lesotho</v>
      </c>
      <c r="B127" t="str">
        <v>LS</v>
      </c>
      <c r="C127" t="str">
        <v>LA</v>
      </c>
      <c r="D127" t="str">
        <v>Lao People's Democratic Republic</v>
      </c>
    </row>
    <row r="128">
      <c r="A128" t="str">
        <v>Liberia</v>
      </c>
      <c r="B128" t="str">
        <v>LR</v>
      </c>
      <c r="C128" t="str">
        <v>LB</v>
      </c>
      <c r="D128" t="str">
        <v>Lebanon</v>
      </c>
    </row>
    <row r="129">
      <c r="A129" t="str">
        <v>Libya</v>
      </c>
      <c r="B129" t="str">
        <v>LY</v>
      </c>
      <c r="C129" t="str">
        <v>LC</v>
      </c>
      <c r="D129" t="str">
        <v>Saint Lucia</v>
      </c>
    </row>
    <row r="130">
      <c r="A130" t="str">
        <v>Liechtenstein</v>
      </c>
      <c r="B130" t="str">
        <v>LI</v>
      </c>
      <c r="C130" t="str">
        <v>LI</v>
      </c>
      <c r="D130" t="str">
        <v>Liechtenstein</v>
      </c>
    </row>
    <row r="131">
      <c r="A131" t="str">
        <v>Lithuania</v>
      </c>
      <c r="B131" t="str">
        <v>LT</v>
      </c>
      <c r="C131" t="str">
        <v>LK</v>
      </c>
      <c r="D131" t="str">
        <v>Sri Lanka</v>
      </c>
    </row>
    <row r="132">
      <c r="A132" t="str">
        <v>Luxembourg</v>
      </c>
      <c r="B132" t="str">
        <v>LU</v>
      </c>
      <c r="C132" t="str">
        <v>LR</v>
      </c>
      <c r="D132" t="str">
        <v>Liberia</v>
      </c>
    </row>
    <row r="133">
      <c r="A133" t="str">
        <v>Macao</v>
      </c>
      <c r="B133" t="str">
        <v>MO</v>
      </c>
      <c r="C133" t="str">
        <v>LS</v>
      </c>
      <c r="D133" t="str">
        <v>Lesotho</v>
      </c>
    </row>
    <row r="134">
      <c r="A134" t="str">
        <v>Madagascar</v>
      </c>
      <c r="B134" t="str">
        <v>MG</v>
      </c>
      <c r="C134" t="str">
        <v>LT</v>
      </c>
      <c r="D134" t="str">
        <v>Lithuania</v>
      </c>
    </row>
    <row r="135">
      <c r="A135" t="str">
        <v>Malawi</v>
      </c>
      <c r="B135" t="str">
        <v>MW</v>
      </c>
      <c r="C135" t="str">
        <v>LU</v>
      </c>
      <c r="D135" t="str">
        <v>Luxembourg</v>
      </c>
    </row>
    <row r="136">
      <c r="A136" t="str">
        <v>Malaysia</v>
      </c>
      <c r="B136" t="str">
        <v>MY</v>
      </c>
      <c r="C136" t="str">
        <v>LV</v>
      </c>
      <c r="D136" t="str">
        <v>Latvia</v>
      </c>
    </row>
    <row r="137">
      <c r="A137" t="str">
        <v>Maldives</v>
      </c>
      <c r="B137" t="str">
        <v>MV</v>
      </c>
      <c r="C137" t="str">
        <v>LY</v>
      </c>
      <c r="D137" t="str">
        <v>Libya</v>
      </c>
    </row>
    <row r="138">
      <c r="A138" t="str">
        <v>Mali</v>
      </c>
      <c r="B138" t="str">
        <v>ML</v>
      </c>
      <c r="C138" t="str">
        <v>MA</v>
      </c>
      <c r="D138" t="str">
        <v>Morocco</v>
      </c>
    </row>
    <row r="139">
      <c r="A139" t="str">
        <v>Malta</v>
      </c>
      <c r="B139" t="str">
        <v>MT</v>
      </c>
      <c r="C139" t="str">
        <v>MC</v>
      </c>
      <c r="D139" t="str">
        <v>Monaco</v>
      </c>
    </row>
    <row r="140">
      <c r="A140" t="str">
        <v>Marshall Islands</v>
      </c>
      <c r="B140" t="str">
        <v>MH</v>
      </c>
      <c r="C140" t="str">
        <v>MD</v>
      </c>
      <c r="D140" t="str">
        <v>Moldova, Republic of</v>
      </c>
    </row>
    <row r="141">
      <c r="A141" t="str">
        <v>Martinique</v>
      </c>
      <c r="B141" t="str">
        <v>MQ</v>
      </c>
      <c r="C141" t="str">
        <v>ME</v>
      </c>
      <c r="D141" t="str">
        <v>Montenegro</v>
      </c>
    </row>
    <row r="142">
      <c r="A142" t="str">
        <v>Mauritania</v>
      </c>
      <c r="B142" t="str">
        <v>MR</v>
      </c>
      <c r="C142" t="str">
        <v>MF</v>
      </c>
      <c r="D142" t="str">
        <v>Saint Martin (French part)</v>
      </c>
    </row>
    <row r="143">
      <c r="A143" t="str">
        <v>Mauritius</v>
      </c>
      <c r="B143" t="str">
        <v>MU</v>
      </c>
      <c r="C143" t="str">
        <v>MG</v>
      </c>
      <c r="D143" t="str">
        <v>Madagascar</v>
      </c>
    </row>
    <row r="144">
      <c r="A144" t="str">
        <v>Mayotte</v>
      </c>
      <c r="B144" t="str">
        <v>YT</v>
      </c>
      <c r="C144" t="str">
        <v>MH</v>
      </c>
      <c r="D144" t="str">
        <v>Marshall Islands</v>
      </c>
    </row>
    <row r="145">
      <c r="A145" t="str">
        <v>Mexico</v>
      </c>
      <c r="B145" t="str">
        <v>MX</v>
      </c>
      <c r="C145" t="str">
        <v>MK</v>
      </c>
      <c r="D145" t="str">
        <v>North Macedonia</v>
      </c>
    </row>
    <row r="146">
      <c r="A146" t="str">
        <v>Micronesia (Federated States of)</v>
      </c>
      <c r="B146" t="str">
        <v>FM</v>
      </c>
      <c r="C146" t="str">
        <v>ML</v>
      </c>
      <c r="D146" t="str">
        <v>Mali</v>
      </c>
    </row>
    <row r="147">
      <c r="A147" t="str">
        <v>Moldova, Republic of</v>
      </c>
      <c r="B147" t="str">
        <v>MD</v>
      </c>
      <c r="C147" t="str">
        <v>MM</v>
      </c>
      <c r="D147" t="str">
        <v>Myanmar</v>
      </c>
    </row>
    <row r="148">
      <c r="A148" t="str">
        <v>Monaco</v>
      </c>
      <c r="B148" t="str">
        <v>MC</v>
      </c>
      <c r="C148" t="str">
        <v>MN</v>
      </c>
      <c r="D148" t="str">
        <v>Mongolia</v>
      </c>
    </row>
    <row r="149">
      <c r="A149" t="str">
        <v>Mongolia</v>
      </c>
      <c r="B149" t="str">
        <v>MN</v>
      </c>
      <c r="C149" t="str">
        <v>MO</v>
      </c>
      <c r="D149" t="str">
        <v>Macao</v>
      </c>
    </row>
    <row r="150">
      <c r="A150" t="str">
        <v>Montenegro</v>
      </c>
      <c r="B150" t="str">
        <v>ME</v>
      </c>
      <c r="C150" t="str">
        <v>MP</v>
      </c>
      <c r="D150" t="str">
        <v>Northern Mariana Islands</v>
      </c>
    </row>
    <row r="151">
      <c r="A151" t="str">
        <v>Montserrat</v>
      </c>
      <c r="B151" t="str">
        <v>MS</v>
      </c>
      <c r="C151" t="str">
        <v>MQ</v>
      </c>
      <c r="D151" t="str">
        <v>Martinique</v>
      </c>
    </row>
    <row r="152">
      <c r="A152" t="str">
        <v>Morocco</v>
      </c>
      <c r="B152" t="str">
        <v>MA</v>
      </c>
      <c r="C152" t="str">
        <v>MR</v>
      </c>
      <c r="D152" t="str">
        <v>Mauritania</v>
      </c>
    </row>
    <row r="153">
      <c r="A153" t="str">
        <v>Mozambique</v>
      </c>
      <c r="B153" t="str">
        <v>MZ</v>
      </c>
      <c r="C153" t="str">
        <v>MS</v>
      </c>
      <c r="D153" t="str">
        <v>Montserrat</v>
      </c>
    </row>
    <row r="154">
      <c r="A154" t="str">
        <v>Myanmar</v>
      </c>
      <c r="B154" t="str">
        <v>MM</v>
      </c>
      <c r="C154" t="str">
        <v>MT</v>
      </c>
      <c r="D154" t="str">
        <v>Malta</v>
      </c>
    </row>
    <row r="155">
      <c r="A155" t="str">
        <v>Namibia</v>
      </c>
      <c r="B155" t="str">
        <v>NA</v>
      </c>
      <c r="C155" t="str">
        <v>MU</v>
      </c>
      <c r="D155" t="str">
        <v>Mauritius</v>
      </c>
    </row>
    <row r="156">
      <c r="A156" t="str">
        <v>Nauru</v>
      </c>
      <c r="B156" t="str">
        <v>NR</v>
      </c>
      <c r="C156" t="str">
        <v>MV</v>
      </c>
      <c r="D156" t="str">
        <v>Maldives</v>
      </c>
    </row>
    <row r="157">
      <c r="A157" t="str">
        <v>Nepal</v>
      </c>
      <c r="B157" t="str">
        <v>NP</v>
      </c>
      <c r="C157" t="str">
        <v>MW</v>
      </c>
      <c r="D157" t="str">
        <v>Malawi</v>
      </c>
    </row>
    <row r="158">
      <c r="A158" t="str">
        <v>Netherlands</v>
      </c>
      <c r="B158" t="str">
        <v>NL</v>
      </c>
      <c r="C158" t="str">
        <v>MX</v>
      </c>
      <c r="D158" t="str">
        <v>Mexico</v>
      </c>
    </row>
    <row r="159">
      <c r="A159" t="str">
        <v>New Caledonia</v>
      </c>
      <c r="B159" t="str">
        <v>NC</v>
      </c>
      <c r="C159" t="str">
        <v>MY</v>
      </c>
      <c r="D159" t="str">
        <v>Malaysia</v>
      </c>
    </row>
    <row r="160">
      <c r="A160" t="str">
        <v>New Zealand</v>
      </c>
      <c r="B160" t="str">
        <v>NZ</v>
      </c>
      <c r="C160" t="str">
        <v>MZ</v>
      </c>
      <c r="D160" t="str">
        <v>Mozambique</v>
      </c>
    </row>
    <row r="161">
      <c r="A161" t="str">
        <v>Nicaragua</v>
      </c>
      <c r="B161" t="str">
        <v>NI</v>
      </c>
      <c r="C161" t="str">
        <v>NA</v>
      </c>
      <c r="D161" t="str">
        <v>Namibia</v>
      </c>
    </row>
    <row r="162">
      <c r="A162" t="str">
        <v>Niger</v>
      </c>
      <c r="B162" t="str">
        <v>NE</v>
      </c>
      <c r="C162" t="str">
        <v>NC</v>
      </c>
      <c r="D162" t="str">
        <v>New Caledonia</v>
      </c>
    </row>
    <row r="163">
      <c r="A163" t="str">
        <v>Nigeria</v>
      </c>
      <c r="B163" t="str">
        <v>NG</v>
      </c>
      <c r="C163" t="str">
        <v>NE</v>
      </c>
      <c r="D163" t="str">
        <v>Niger</v>
      </c>
    </row>
    <row r="164">
      <c r="A164" t="str">
        <v>Niue</v>
      </c>
      <c r="B164" t="str">
        <v>NU</v>
      </c>
      <c r="C164" t="str">
        <v>NF</v>
      </c>
      <c r="D164" t="str">
        <v>Norfolk Island</v>
      </c>
    </row>
    <row r="165">
      <c r="A165" t="str">
        <v>Norfolk Island</v>
      </c>
      <c r="B165" t="str">
        <v>NF</v>
      </c>
      <c r="C165" t="str">
        <v>NG</v>
      </c>
      <c r="D165" t="str">
        <v>Nigeria</v>
      </c>
    </row>
    <row r="166">
      <c r="A166" t="str">
        <v>North Macedonia</v>
      </c>
      <c r="B166" t="str">
        <v>MK</v>
      </c>
      <c r="C166" t="str">
        <v>NI</v>
      </c>
      <c r="D166" t="str">
        <v>Nicaragua</v>
      </c>
    </row>
    <row r="167">
      <c r="A167" t="str">
        <v>Northern Mariana Islands</v>
      </c>
      <c r="B167" t="str">
        <v>MP</v>
      </c>
      <c r="C167" t="str">
        <v>NL</v>
      </c>
      <c r="D167" t="str">
        <v>Netherlands</v>
      </c>
    </row>
    <row r="168">
      <c r="A168" t="str">
        <v>Norway</v>
      </c>
      <c r="B168" t="str">
        <v>NO</v>
      </c>
      <c r="C168" t="str">
        <v>NO</v>
      </c>
      <c r="D168" t="str">
        <v>Norway</v>
      </c>
    </row>
    <row r="169">
      <c r="A169" t="str">
        <v>Oman</v>
      </c>
      <c r="B169" t="str">
        <v>OM</v>
      </c>
      <c r="C169" t="str">
        <v>NP</v>
      </c>
      <c r="D169" t="str">
        <v>Nepal</v>
      </c>
    </row>
    <row r="170">
      <c r="A170" t="str">
        <v>Pakistan</v>
      </c>
      <c r="B170" t="str">
        <v>PK</v>
      </c>
      <c r="C170" t="str">
        <v>NR</v>
      </c>
      <c r="D170" t="str">
        <v>Nauru</v>
      </c>
    </row>
    <row r="171">
      <c r="A171" t="str">
        <v>Palau</v>
      </c>
      <c r="B171" t="str">
        <v>PW</v>
      </c>
      <c r="C171" t="str">
        <v>NU</v>
      </c>
      <c r="D171" t="str">
        <v>Niue</v>
      </c>
    </row>
    <row r="172">
      <c r="A172" t="str">
        <v>Palestine, State of</v>
      </c>
      <c r="B172" t="str">
        <v>PS</v>
      </c>
      <c r="C172" t="str">
        <v>NZ</v>
      </c>
      <c r="D172" t="str">
        <v>New Zealand</v>
      </c>
    </row>
    <row r="173">
      <c r="A173" t="str">
        <v>Panama</v>
      </c>
      <c r="B173" t="str">
        <v>PA</v>
      </c>
      <c r="C173" t="str">
        <v>OM</v>
      </c>
      <c r="D173" t="str">
        <v>Oman</v>
      </c>
    </row>
    <row r="174">
      <c r="A174" t="str">
        <v>Papua New Guinea</v>
      </c>
      <c r="B174" t="str">
        <v>PG</v>
      </c>
      <c r="C174" t="str">
        <v>PA</v>
      </c>
      <c r="D174" t="str">
        <v>Panama</v>
      </c>
    </row>
    <row r="175">
      <c r="A175" t="str">
        <v>Paraguay</v>
      </c>
      <c r="B175" t="str">
        <v>PY</v>
      </c>
      <c r="C175" t="str">
        <v>PE</v>
      </c>
      <c r="D175" t="str">
        <v>Peru</v>
      </c>
    </row>
    <row r="176">
      <c r="A176" t="str">
        <v>Peru</v>
      </c>
      <c r="B176" t="str">
        <v>PE</v>
      </c>
      <c r="C176" t="str">
        <v>PF</v>
      </c>
      <c r="D176" t="str">
        <v>French Polynesia</v>
      </c>
    </row>
    <row r="177">
      <c r="A177" t="str">
        <v>Philippines</v>
      </c>
      <c r="B177" t="str">
        <v>PH</v>
      </c>
      <c r="C177" t="str">
        <v>PG</v>
      </c>
      <c r="D177" t="str">
        <v>Papua New Guinea</v>
      </c>
    </row>
    <row r="178">
      <c r="A178" t="str">
        <v>Pitcairn</v>
      </c>
      <c r="B178" t="str">
        <v>PN</v>
      </c>
      <c r="C178" t="str">
        <v>PH</v>
      </c>
      <c r="D178" t="str">
        <v>Philippines</v>
      </c>
    </row>
    <row r="179">
      <c r="A179" t="str">
        <v>Poland</v>
      </c>
      <c r="B179" t="str">
        <v>PL</v>
      </c>
      <c r="C179" t="str">
        <v>PK</v>
      </c>
      <c r="D179" t="str">
        <v>Pakistan</v>
      </c>
    </row>
    <row r="180">
      <c r="A180" t="str">
        <v>Portugal</v>
      </c>
      <c r="B180" t="str">
        <v>PT</v>
      </c>
      <c r="C180" t="str">
        <v>PL</v>
      </c>
      <c r="D180" t="str">
        <v>Poland</v>
      </c>
    </row>
    <row r="181">
      <c r="A181" t="str">
        <v>Puerto Rico</v>
      </c>
      <c r="B181" t="str">
        <v>PR</v>
      </c>
      <c r="C181" t="str">
        <v>PM</v>
      </c>
      <c r="D181" t="str">
        <v>Saint Pierre and Miquelon</v>
      </c>
    </row>
    <row r="182">
      <c r="A182" t="str">
        <v>Qatar</v>
      </c>
      <c r="B182" t="str">
        <v>QA</v>
      </c>
      <c r="C182" t="str">
        <v>PN</v>
      </c>
      <c r="D182" t="str">
        <v>Pitcairn</v>
      </c>
    </row>
    <row r="183">
      <c r="A183" t="str">
        <v>Réunion</v>
      </c>
      <c r="B183" t="str">
        <v>RE</v>
      </c>
      <c r="C183" t="str">
        <v>PR</v>
      </c>
      <c r="D183" t="str">
        <v>Puerto Rico</v>
      </c>
    </row>
    <row r="184">
      <c r="A184" t="str">
        <v>Romania</v>
      </c>
      <c r="B184" t="str">
        <v>RO</v>
      </c>
      <c r="C184" t="str">
        <v>PS</v>
      </c>
      <c r="D184" t="str">
        <v>Palestine, State of</v>
      </c>
    </row>
    <row r="185">
      <c r="A185" t="str">
        <v>Russian Federation</v>
      </c>
      <c r="B185" t="str">
        <v>RU</v>
      </c>
      <c r="C185" t="str">
        <v>PT</v>
      </c>
      <c r="D185" t="str">
        <v>Portugal</v>
      </c>
    </row>
    <row r="186">
      <c r="A186" t="str">
        <v>Rwanda</v>
      </c>
      <c r="B186" t="str">
        <v>RW</v>
      </c>
      <c r="C186" t="str">
        <v>PW</v>
      </c>
      <c r="D186" t="str">
        <v>Palau</v>
      </c>
    </row>
    <row r="187">
      <c r="A187" t="str">
        <v>Saint Barthélemy</v>
      </c>
      <c r="B187" t="str">
        <v>BL</v>
      </c>
      <c r="C187" t="str">
        <v>PY</v>
      </c>
      <c r="D187" t="str">
        <v>Paraguay</v>
      </c>
    </row>
    <row r="188">
      <c r="A188" t="str">
        <v>Saint Helena, Ascension and Tristan da Cunha</v>
      </c>
      <c r="B188" t="str">
        <v>SH</v>
      </c>
      <c r="C188" t="str">
        <v>QA</v>
      </c>
      <c r="D188" t="str">
        <v>Qatar</v>
      </c>
    </row>
    <row r="189">
      <c r="A189" t="str">
        <v>Saint Kitts and Nevis</v>
      </c>
      <c r="B189" t="str">
        <v>KN</v>
      </c>
      <c r="C189" t="str">
        <v>RE</v>
      </c>
      <c r="D189" t="str">
        <v>Réunion</v>
      </c>
    </row>
    <row r="190">
      <c r="A190" t="str">
        <v>Saint Lucia</v>
      </c>
      <c r="B190" t="str">
        <v>LC</v>
      </c>
      <c r="C190" t="str">
        <v>RO</v>
      </c>
      <c r="D190" t="str">
        <v>Romania</v>
      </c>
    </row>
    <row r="191">
      <c r="A191" t="str">
        <v>Saint Martin (French part)</v>
      </c>
      <c r="B191" t="str">
        <v>MF</v>
      </c>
      <c r="C191" t="str">
        <v>RS</v>
      </c>
      <c r="D191" t="str">
        <v>Serbia</v>
      </c>
    </row>
    <row r="192">
      <c r="A192" t="str">
        <v>Saint Pierre and Miquelon</v>
      </c>
      <c r="B192" t="str">
        <v>PM</v>
      </c>
      <c r="C192" t="str">
        <v>RU</v>
      </c>
      <c r="D192" t="str">
        <v>Russian Federation</v>
      </c>
    </row>
    <row r="193">
      <c r="A193" t="str">
        <v>Saint Vincent and the Grenadines</v>
      </c>
      <c r="B193" t="str">
        <v>VC</v>
      </c>
      <c r="C193" t="str">
        <v>RW</v>
      </c>
      <c r="D193" t="str">
        <v>Rwanda</v>
      </c>
    </row>
    <row r="194">
      <c r="A194" t="str">
        <v>Samoa</v>
      </c>
      <c r="B194" t="str">
        <v>WS</v>
      </c>
      <c r="C194" t="str">
        <v>SA</v>
      </c>
      <c r="D194" t="str">
        <v>Saudi Arabia</v>
      </c>
    </row>
    <row r="195">
      <c r="A195" t="str">
        <v>San Marino</v>
      </c>
      <c r="B195" t="str">
        <v>SM</v>
      </c>
      <c r="C195" t="str">
        <v>SB</v>
      </c>
      <c r="D195" t="str">
        <v>Solomon Islands</v>
      </c>
    </row>
    <row r="196">
      <c r="A196" t="str">
        <v>Sao Tome and Principe</v>
      </c>
      <c r="B196" t="str">
        <v>ST</v>
      </c>
      <c r="C196" t="str">
        <v>SC</v>
      </c>
      <c r="D196" t="str">
        <v>Seychelles</v>
      </c>
    </row>
    <row r="197">
      <c r="A197" t="str">
        <v>Saudi Arabia</v>
      </c>
      <c r="B197" t="str">
        <v>SA</v>
      </c>
      <c r="C197" t="str">
        <v>SD</v>
      </c>
      <c r="D197" t="str">
        <v>Sudan</v>
      </c>
    </row>
    <row r="198">
      <c r="A198" t="str">
        <v>Senegal</v>
      </c>
      <c r="B198" t="str">
        <v>SN</v>
      </c>
      <c r="C198" t="str">
        <v>SE</v>
      </c>
      <c r="D198" t="str">
        <v>Sweden</v>
      </c>
    </row>
    <row r="199">
      <c r="A199" t="str">
        <v>Serbia</v>
      </c>
      <c r="B199" t="str">
        <v>RS</v>
      </c>
      <c r="C199" t="str">
        <v>SG</v>
      </c>
      <c r="D199" t="str">
        <v>Singapore</v>
      </c>
    </row>
    <row r="200">
      <c r="A200" t="str">
        <v>Seychelles</v>
      </c>
      <c r="B200" t="str">
        <v>SC</v>
      </c>
      <c r="C200" t="str">
        <v>SH</v>
      </c>
      <c r="D200" t="str">
        <v>Saint Helena, Ascension and Tristan da Cunha</v>
      </c>
    </row>
    <row r="201">
      <c r="A201" t="str">
        <v>Sierra Leone</v>
      </c>
      <c r="B201" t="str">
        <v>SL</v>
      </c>
      <c r="C201" t="str">
        <v>SI</v>
      </c>
      <c r="D201" t="str">
        <v>Slovenia</v>
      </c>
    </row>
    <row r="202">
      <c r="A202" t="str">
        <v>Singapore</v>
      </c>
      <c r="B202" t="str">
        <v>SG</v>
      </c>
      <c r="C202" t="str">
        <v>SJ</v>
      </c>
      <c r="D202" t="str">
        <v>Svalbard and Jan Mayen</v>
      </c>
    </row>
    <row r="203">
      <c r="A203" t="str">
        <v>Sint Maarten (Dutch part)</v>
      </c>
      <c r="B203" t="str">
        <v>SX</v>
      </c>
      <c r="C203" t="str">
        <v>SK</v>
      </c>
      <c r="D203" t="str">
        <v>Slovakia</v>
      </c>
    </row>
    <row r="204">
      <c r="A204" t="str">
        <v>Slovakia</v>
      </c>
      <c r="B204" t="str">
        <v>SK</v>
      </c>
      <c r="C204" t="str">
        <v>SL</v>
      </c>
      <c r="D204" t="str">
        <v>Sierra Leone</v>
      </c>
    </row>
    <row r="205">
      <c r="A205" t="str">
        <v>Slovenia</v>
      </c>
      <c r="B205" t="str">
        <v>SI</v>
      </c>
      <c r="C205" t="str">
        <v>SM</v>
      </c>
      <c r="D205" t="str">
        <v>San Marino</v>
      </c>
    </row>
    <row r="206">
      <c r="A206" t="str">
        <v>Solomon Islands</v>
      </c>
      <c r="B206" t="str">
        <v>SB</v>
      </c>
      <c r="C206" t="str">
        <v>SN</v>
      </c>
      <c r="D206" t="str">
        <v>Senegal</v>
      </c>
    </row>
    <row r="207">
      <c r="A207" t="str">
        <v>Somalia</v>
      </c>
      <c r="B207" t="str">
        <v>SO</v>
      </c>
      <c r="C207" t="str">
        <v>SO</v>
      </c>
      <c r="D207" t="str">
        <v>Somalia</v>
      </c>
    </row>
    <row r="208">
      <c r="A208" t="str">
        <v>South Africa</v>
      </c>
      <c r="B208" t="str">
        <v>ZA</v>
      </c>
      <c r="C208" t="str">
        <v>SR</v>
      </c>
      <c r="D208" t="str">
        <v>Suriname</v>
      </c>
    </row>
    <row r="209">
      <c r="A209" t="str">
        <v>South Georgia and the South Sandwich Islands</v>
      </c>
      <c r="B209" t="str">
        <v>GS</v>
      </c>
      <c r="C209" t="str">
        <v>SS</v>
      </c>
      <c r="D209" t="str">
        <v>South Sudan</v>
      </c>
    </row>
    <row r="210">
      <c r="A210" t="str">
        <v>South Sudan</v>
      </c>
      <c r="B210" t="str">
        <v>SS</v>
      </c>
      <c r="C210" t="str">
        <v>ST</v>
      </c>
      <c r="D210" t="str">
        <v>Sao Tome and Principe</v>
      </c>
    </row>
    <row r="211">
      <c r="A211" t="str">
        <v>Spain</v>
      </c>
      <c r="B211" t="str">
        <v>ES</v>
      </c>
      <c r="C211" t="str">
        <v>SV</v>
      </c>
      <c r="D211" t="str">
        <v>El Salvador</v>
      </c>
    </row>
    <row r="212">
      <c r="A212" t="str">
        <v>Sri Lanka</v>
      </c>
      <c r="B212" t="str">
        <v>LK</v>
      </c>
      <c r="C212" t="str">
        <v>SX</v>
      </c>
      <c r="D212" t="str">
        <v>Sint Maarten (Dutch part)</v>
      </c>
    </row>
    <row r="213">
      <c r="A213" t="str">
        <v>Sudan</v>
      </c>
      <c r="B213" t="str">
        <v>SD</v>
      </c>
      <c r="C213" t="str">
        <v>SY</v>
      </c>
      <c r="D213" t="str">
        <v>Syrian Arab Republic</v>
      </c>
    </row>
    <row r="214">
      <c r="A214" t="str">
        <v>Suriname</v>
      </c>
      <c r="B214" t="str">
        <v>SR</v>
      </c>
      <c r="C214" t="str">
        <v>SZ</v>
      </c>
      <c r="D214" t="str">
        <v>Eswatini</v>
      </c>
    </row>
    <row r="215">
      <c r="A215" t="str">
        <v>Svalbard and Jan Mayen</v>
      </c>
      <c r="B215" t="str">
        <v>SJ</v>
      </c>
      <c r="C215" t="str">
        <v>TC</v>
      </c>
      <c r="D215" t="str">
        <v>Turks and Caicos Islands</v>
      </c>
    </row>
    <row r="216">
      <c r="A216" t="str">
        <v>Sweden</v>
      </c>
      <c r="B216" t="str">
        <v>SE</v>
      </c>
      <c r="C216" t="str">
        <v>TD</v>
      </c>
      <c r="D216" t="str">
        <v>Chad</v>
      </c>
    </row>
    <row r="217">
      <c r="A217" t="str">
        <v>Switzerland</v>
      </c>
      <c r="B217" t="str">
        <v>CH</v>
      </c>
      <c r="C217" t="str">
        <v>TF</v>
      </c>
      <c r="D217" t="str">
        <v>French Southern Territories</v>
      </c>
    </row>
    <row r="218">
      <c r="A218" t="str">
        <v>Syrian Arab Republic</v>
      </c>
      <c r="B218" t="str">
        <v>SY</v>
      </c>
      <c r="C218" t="str">
        <v>TG</v>
      </c>
      <c r="D218" t="str">
        <v>Togo</v>
      </c>
    </row>
    <row r="219">
      <c r="A219" t="str">
        <v>Taiwan, Province of China</v>
      </c>
      <c r="B219" t="str">
        <v>TW</v>
      </c>
      <c r="C219" t="str">
        <v>TH</v>
      </c>
      <c r="D219" t="str">
        <v>Thailand</v>
      </c>
    </row>
    <row r="220">
      <c r="A220" t="str">
        <v>Tajikistan</v>
      </c>
      <c r="B220" t="str">
        <v>TJ</v>
      </c>
      <c r="C220" t="str">
        <v>TJ</v>
      </c>
      <c r="D220" t="str">
        <v>Tajikistan</v>
      </c>
    </row>
    <row r="221">
      <c r="A221" t="str">
        <v>Tanzania, United Republic of</v>
      </c>
      <c r="B221" t="str">
        <v>TZ</v>
      </c>
      <c r="C221" t="str">
        <v>TK</v>
      </c>
      <c r="D221" t="str">
        <v>Tokelau</v>
      </c>
    </row>
    <row r="222">
      <c r="A222" t="str">
        <v>Thailand</v>
      </c>
      <c r="B222" t="str">
        <v>TH</v>
      </c>
      <c r="C222" t="str">
        <v>TL</v>
      </c>
      <c r="D222" t="str">
        <v>Timor-Leste</v>
      </c>
    </row>
    <row r="223">
      <c r="A223" t="str">
        <v>Timor-Leste</v>
      </c>
      <c r="B223" t="str">
        <v>TL</v>
      </c>
      <c r="C223" t="str">
        <v>TM</v>
      </c>
      <c r="D223" t="str">
        <v>Turkmenistan</v>
      </c>
    </row>
    <row r="224">
      <c r="A224" t="str">
        <v>Togo</v>
      </c>
      <c r="B224" t="str">
        <v>TG</v>
      </c>
      <c r="C224" t="str">
        <v>TN</v>
      </c>
      <c r="D224" t="str">
        <v>Tunisia</v>
      </c>
    </row>
    <row r="225">
      <c r="A225" t="str">
        <v>Tokelau</v>
      </c>
      <c r="B225" t="str">
        <v>TK</v>
      </c>
      <c r="C225" t="str">
        <v>TO</v>
      </c>
      <c r="D225" t="str">
        <v>Tonga</v>
      </c>
    </row>
    <row r="226">
      <c r="A226" t="str">
        <v>Tonga</v>
      </c>
      <c r="B226" t="str">
        <v>TO</v>
      </c>
      <c r="C226" t="str">
        <v>TR</v>
      </c>
      <c r="D226" t="str">
        <v>Turkey</v>
      </c>
    </row>
    <row r="227">
      <c r="A227" t="str">
        <v>Trinidad and Tobago</v>
      </c>
      <c r="B227" t="str">
        <v>TT</v>
      </c>
      <c r="C227" t="str">
        <v>TT</v>
      </c>
      <c r="D227" t="str">
        <v>Trinidad and Tobago</v>
      </c>
    </row>
    <row r="228">
      <c r="A228" t="str">
        <v>Tunisia</v>
      </c>
      <c r="B228" t="str">
        <v>TN</v>
      </c>
      <c r="C228" t="str">
        <v>TV</v>
      </c>
      <c r="D228" t="str">
        <v>Tuvalu</v>
      </c>
    </row>
    <row r="229">
      <c r="A229" t="str">
        <v>Turkey</v>
      </c>
      <c r="B229" t="str">
        <v>TR</v>
      </c>
      <c r="C229" t="str">
        <v>TW</v>
      </c>
      <c r="D229" t="str">
        <v>Taiwan, Province of China</v>
      </c>
    </row>
    <row r="230">
      <c r="A230" t="str">
        <v>Turkmenistan</v>
      </c>
      <c r="B230" t="str">
        <v>TM</v>
      </c>
      <c r="C230" t="str">
        <v>TZ</v>
      </c>
      <c r="D230" t="str">
        <v>Tanzania, United Republic of</v>
      </c>
    </row>
    <row r="231">
      <c r="A231" t="str">
        <v>Turks and Caicos Islands</v>
      </c>
      <c r="B231" t="str">
        <v>TC</v>
      </c>
      <c r="C231" t="str">
        <v>UA</v>
      </c>
      <c r="D231" t="str">
        <v>Ukraine</v>
      </c>
    </row>
    <row r="232">
      <c r="A232" t="str">
        <v>Tuvalu</v>
      </c>
      <c r="B232" t="str">
        <v>TV</v>
      </c>
      <c r="C232" t="str">
        <v>UG</v>
      </c>
      <c r="D232" t="str">
        <v>Uganda</v>
      </c>
    </row>
    <row r="233">
      <c r="A233" t="str">
        <v>Uganda</v>
      </c>
      <c r="B233" t="str">
        <v>UG</v>
      </c>
      <c r="C233" t="str">
        <v>UM</v>
      </c>
      <c r="D233" t="str">
        <v>United States Minor Outlying Islands</v>
      </c>
    </row>
    <row r="234">
      <c r="A234" t="str">
        <v>Ukraine</v>
      </c>
      <c r="B234" t="str">
        <v>UA</v>
      </c>
      <c r="C234" t="str">
        <v>US</v>
      </c>
      <c r="D234" t="str">
        <v>United States of America</v>
      </c>
    </row>
    <row r="235">
      <c r="A235" t="str">
        <v>United Arab Emirates</v>
      </c>
      <c r="B235" t="str">
        <v>AE</v>
      </c>
      <c r="C235" t="str">
        <v>UY</v>
      </c>
      <c r="D235" t="str">
        <v>Uruguay</v>
      </c>
    </row>
    <row r="236">
      <c r="A236" t="str">
        <v>United Kingdom of Great Britain and Northern Ireland</v>
      </c>
      <c r="B236" t="str">
        <v>GB</v>
      </c>
      <c r="C236" t="str">
        <v>UZ</v>
      </c>
      <c r="D236" t="str">
        <v>Uzbekistan</v>
      </c>
    </row>
    <row r="237">
      <c r="A237" t="str">
        <v>United States Minor Outlying Islands</v>
      </c>
      <c r="B237" t="str">
        <v>UM</v>
      </c>
      <c r="C237" t="str">
        <v>VA</v>
      </c>
      <c r="D237" t="str">
        <v>Holy See</v>
      </c>
    </row>
    <row r="238">
      <c r="A238" t="str">
        <v>United States of America</v>
      </c>
      <c r="B238" t="str">
        <v>US</v>
      </c>
      <c r="C238" t="str">
        <v>VC</v>
      </c>
      <c r="D238" t="str">
        <v>Saint Vincent and the Grenadines</v>
      </c>
    </row>
    <row r="239">
      <c r="A239" t="str">
        <v>Uruguay</v>
      </c>
      <c r="B239" t="str">
        <v>UY</v>
      </c>
      <c r="C239" t="str">
        <v>VE</v>
      </c>
      <c r="D239" t="str">
        <v>Venezuela (Bolivarian Republic of)</v>
      </c>
    </row>
    <row r="240">
      <c r="A240" t="str">
        <v>Uzbekistan</v>
      </c>
      <c r="B240" t="str">
        <v>UZ</v>
      </c>
      <c r="C240" t="str">
        <v>VG</v>
      </c>
      <c r="D240" t="str">
        <v>Virgin Islands (British)</v>
      </c>
    </row>
    <row r="241">
      <c r="A241" t="str">
        <v>Vanuatu</v>
      </c>
      <c r="B241" t="str">
        <v>VU</v>
      </c>
      <c r="C241" t="str">
        <v>VI</v>
      </c>
      <c r="D241" t="str">
        <v>Virgin Islands (U.S.)</v>
      </c>
    </row>
    <row r="242">
      <c r="A242" t="str">
        <v>Venezuela (Bolivarian Republic of)</v>
      </c>
      <c r="B242" t="str">
        <v>VE</v>
      </c>
      <c r="C242" t="str">
        <v>VN</v>
      </c>
      <c r="D242" t="str">
        <v>VietNam</v>
      </c>
    </row>
    <row r="243">
      <c r="A243" t="str">
        <v>VietNam</v>
      </c>
      <c r="B243" t="str">
        <v>VN</v>
      </c>
      <c r="C243" t="str">
        <v>VU</v>
      </c>
      <c r="D243" t="str">
        <v>Vanuatu</v>
      </c>
    </row>
    <row r="244">
      <c r="A244" t="str">
        <v>Virgin Islands (British)</v>
      </c>
      <c r="B244" t="str">
        <v>VG</v>
      </c>
      <c r="C244" t="str">
        <v>WF</v>
      </c>
      <c r="D244" t="str">
        <v>Wallis and Futuna</v>
      </c>
    </row>
    <row r="245">
      <c r="A245" t="str">
        <v>Virgin Islands (U.S.)</v>
      </c>
      <c r="B245" t="str">
        <v>VI</v>
      </c>
      <c r="C245" t="str">
        <v>WS</v>
      </c>
      <c r="D245" t="str">
        <v>Samoa</v>
      </c>
    </row>
    <row r="246">
      <c r="A246" t="str">
        <v>Wallis and Futuna</v>
      </c>
      <c r="B246" t="str">
        <v>WF</v>
      </c>
      <c r="C246" t="str">
        <v>YE</v>
      </c>
      <c r="D246" t="str">
        <v>Yemen</v>
      </c>
    </row>
    <row r="247">
      <c r="A247" t="str">
        <v>Western Sahara</v>
      </c>
      <c r="B247" t="str">
        <v>EH</v>
      </c>
      <c r="C247" t="str">
        <v>YT</v>
      </c>
      <c r="D247" t="str">
        <v>Mayotte</v>
      </c>
    </row>
    <row r="248">
      <c r="A248" t="str">
        <v>Yemen</v>
      </c>
      <c r="B248" t="str">
        <v>YE</v>
      </c>
      <c r="C248" t="str">
        <v>ZA</v>
      </c>
      <c r="D248" t="str">
        <v>South Africa</v>
      </c>
    </row>
    <row r="249">
      <c r="A249" t="str">
        <v>Zambia</v>
      </c>
      <c r="B249" t="str">
        <v>ZM</v>
      </c>
      <c r="C249" t="str">
        <v>ZM</v>
      </c>
      <c r="D249" t="str">
        <v>Zambia</v>
      </c>
    </row>
    <row r="250">
      <c r="A250" t="str">
        <v>Zimbabwe</v>
      </c>
      <c r="B250" t="str">
        <v>ZW</v>
      </c>
      <c r="C250" t="str">
        <v>ZW</v>
      </c>
      <c r="D250" t="str">
        <v>Zimbabwe</v>
      </c>
    </row>
  </sheetData>
  <pageMargins left="0.7" right="0.7" top="0.75" bottom="0.75" header="0.3" footer="0.3"/>
  <ignoredErrors>
    <ignoredError numberStoredAsText="1" sqref="A1:D250"/>
  </ignoredErrors>
</worksheet>
</file>

<file path=xl/worksheets/sheet5.xml><?xml version="1.0" encoding="utf-8"?>
<worksheet xmlns="http://schemas.openxmlformats.org/spreadsheetml/2006/main" xmlns:r="http://schemas.openxmlformats.org/officeDocument/2006/relationships">
  <dimension ref="A1:G2"/>
  <sheetViews>
    <sheetView workbookViewId="0" rightToLeft="0"/>
  </sheetViews>
  <sheetData>
    <row r="1">
      <c r="A1" t="str">
        <v>code</v>
      </c>
      <c r="B1" t="str">
        <v>account_details[0].name</v>
      </c>
      <c r="C1" t="str">
        <v>account_details[0].private</v>
      </c>
      <c r="D1" t="str">
        <v>account_details[0].restricted</v>
      </c>
      <c r="E1" t="str">
        <v>account_details[0].active</v>
      </c>
      <c r="F1" t="str">
        <v>account_details[0].notes</v>
      </c>
      <c r="G1" t="str">
        <v>account_type.code</v>
      </c>
    </row>
    <row r="2">
      <c r="A2" t="str">
        <v>ACCOUNTREDEMPTION011</v>
      </c>
      <c r="B2" t="str">
        <v>Redemption Test Account 011</v>
      </c>
      <c r="C2" t="str">
        <v>als</v>
      </c>
      <c r="D2" t="str">
        <v>als</v>
      </c>
      <c r="E2" t="str">
        <v>ru</v>
      </c>
      <c r="F2" t="str">
        <v>Some test notes</v>
      </c>
      <c r="G2" t="str">
        <v>Redemption</v>
      </c>
    </row>
  </sheetData>
  <pageMargins left="0.7" right="0.7" top="0.75" bottom="0.75" header="0.3" footer="0.3"/>
  <ignoredErrors>
    <ignoredError numberStoredAsText="1" sqref="A1:G2"/>
  </ignoredErrors>
</worksheet>
</file>

<file path=xl/worksheets/sheet6.xml><?xml version="1.0" encoding="utf-8"?>
<worksheet xmlns="http://schemas.openxmlformats.org/spreadsheetml/2006/main" xmlns:r="http://schemas.openxmlformats.org/officeDocument/2006/relationships">
  <dimension ref="A1:G2"/>
  <sheetViews>
    <sheetView workbookViewId="0" rightToLeft="0"/>
  </sheetViews>
  <sheetData>
    <row r="1">
      <c r="A1" t="str">
        <v>code</v>
      </c>
      <c r="B1" t="str">
        <v>account_details[0].name</v>
      </c>
      <c r="C1" t="str">
        <v>account_details[0].private</v>
      </c>
      <c r="D1" t="str">
        <v>account_details[0].restricted</v>
      </c>
      <c r="E1" t="str">
        <v>account_details[0].active</v>
      </c>
      <c r="F1" t="str">
        <v>account_details[0].notes</v>
      </c>
      <c r="G1" t="str">
        <v>account_type.code</v>
      </c>
    </row>
    <row r="2">
      <c r="A2" t="str">
        <v>ACCOUNTTRADE011</v>
      </c>
      <c r="B2" t="str">
        <v>Trade Test Account 011</v>
      </c>
      <c r="C2" t="str">
        <v>als</v>
      </c>
      <c r="D2" t="str">
        <v>als</v>
      </c>
      <c r="E2" t="str">
        <v>ru</v>
      </c>
      <c r="F2" t="str">
        <v>Some test notes</v>
      </c>
      <c r="G2" t="str">
        <v>Trade</v>
      </c>
    </row>
  </sheetData>
  <pageMargins left="0.7" right="0.7" top="0.75" bottom="0.75" header="0.3" footer="0.3"/>
  <ignoredErrors>
    <ignoredError numberStoredAsText="1" sqref="A1:G2"/>
  </ignoredErrors>
</worksheet>
</file>

<file path=xl/worksheets/sheet7.xml><?xml version="1.0" encoding="utf-8"?>
<worksheet xmlns="http://schemas.openxmlformats.org/spreadsheetml/2006/main" xmlns:r="http://schemas.openxmlformats.org/officeDocument/2006/relationships">
  <dimension ref="A1:N2"/>
  <sheetViews>
    <sheetView workbookViewId="0" rightToLeft="0"/>
  </sheetViews>
  <sheetData>
    <row r="1">
      <c r="A1" t="str">
        <v>ID</v>
      </c>
      <c r="B1" t="str">
        <v>Volume</v>
      </c>
      <c r="C1" t="str">
        <v>Start Date</v>
      </c>
      <c r="D1" t="str">
        <v>End Date</v>
      </c>
      <c r="E1" t="str">
        <v>Fuel</v>
      </c>
      <c r="G1" t="str">
        <v>Technology</v>
      </c>
      <c r="I1" t="str">
        <v>Device</v>
      </c>
      <c r="K1" t="str">
        <v>Supported</v>
      </c>
      <c r="L1" t="str">
        <v>Country</v>
      </c>
      <c r="M1" t="str">
        <v>asset</v>
      </c>
      <c r="N1" t="str">
        <v>Priority</v>
      </c>
    </row>
    <row r="2">
      <c r="A2" t="str">
        <v>PARTICIPANTUSER011-2022-0107-1239-26-1</v>
      </c>
      <c r="B2">
        <v>387493</v>
      </c>
      <c r="C2" t="str">
        <v>2021-04-01</v>
      </c>
      <c r="D2" t="str">
        <v>2021-05-05</v>
      </c>
      <c r="E2" t="str">
        <v>ES100</v>
      </c>
      <c r="F2" t="str">
        <v>Solar</v>
      </c>
      <c r="G2" t="str">
        <v>TC210</v>
      </c>
      <c r="H2" t="str">
        <v>Onshore</v>
      </c>
      <c r="I2" t="str">
        <v>DEVICE011</v>
      </c>
      <c r="J2" t="str">
        <v>DEVICE011</v>
      </c>
      <c r="K2" t="str">
        <v>-True-</v>
      </c>
      <c r="L2" t="str">
        <v>GB</v>
      </c>
      <c r="M2" t="str">
        <v>ISSUERUSER011-2022-0107-0959-52</v>
      </c>
      <c r="N2">
        <v>0</v>
      </c>
    </row>
  </sheetData>
  <autoFilter ref="A1:N2"/>
  <pageMargins left="0.7" right="0.7" top="0.75" bottom="0.75" header="0.3" footer="0.3"/>
  <ignoredErrors>
    <ignoredError numberStoredAsText="1" sqref="A1:N2"/>
  </ignoredErrors>
</worksheet>
</file>

<file path=xl/worksheets/sheet8.xml><?xml version="1.0" encoding="utf-8"?>
<worksheet xmlns="http://schemas.openxmlformats.org/spreadsheetml/2006/main" xmlns:r="http://schemas.openxmlformats.org/officeDocument/2006/relationships">
  <dimension ref="A1:E1048576"/>
  <sheetViews>
    <sheetView workbookViewId="0" rightToLeft="0"/>
  </sheetViews>
  <sheetData>
    <row r="1">
      <c r="A1" t="str">
        <v>Beneficiaries can be added at any time by completing this sheet and then pressing the "Add New Beneficiaries" button, step 3 on the Dashboard sheet</v>
      </c>
    </row>
    <row r="2">
      <c r="A2" t="str">
        <v>Beneficiaries to Add</v>
      </c>
      <c r="B2">
        <f>COUNTIF(A4:A102,"*")</f>
        <v>0</v>
      </c>
      <c r="D2" t="str">
        <v>Errors</v>
      </c>
      <c r="E2">
        <f>COUNTIF(E4:E103,"Incomplete")</f>
        <v>0</v>
      </c>
    </row>
    <row r="3">
      <c r="A3" t="str">
        <v>Name</v>
      </c>
      <c r="B3" t="str">
        <v>Country Name</v>
      </c>
      <c r="C3" t="str">
        <v>Location</v>
      </c>
      <c r="D3" t="str">
        <v>Country Code</v>
      </c>
      <c r="E3" t="str">
        <v>Status</v>
      </c>
    </row>
    <row r="4">
      <c r="A4" t="str">
        <v>Blockchain Network ID: 246 - Tokenization Protocol: ZL 1.0.0 - Smart Contract Address: 0x2248a8E53c8cf533AEEf2369FfF9Dc8C036c8900 - Batch ID: 5711 - Filecoin minerID f082635</v>
      </c>
      <c r="B4" t="str">
        <v>CN</v>
      </c>
      <c r="C4" t="str">
        <v>CN-SC</v>
      </c>
      <c r="D4" t="str">
        <f>IF(ISTEXT(B4),VLOOKUP(B4,Countries!$A$2:$B$250,2),"")</f>
        <v/>
      </c>
      <c r="E4" t="str">
        <f>IF(OR(AND(ISBLANK(A4),ISBLANK(B4),ISBLANK(C4)),AND(ISTEXT(A4),ISTEXT(B4),ISTEXT(C4))),"OK","Incomplete")</f>
        <v>OK</v>
      </c>
    </row>
    <row r="5">
      <c r="A5" t="str">
        <v>Blockchain Network ID: 246 - Tokenization Protocol: ZL 1.0.0 - Smart Contract Address: 0x2248a8E53c8cf533AEEf2369FfF9Dc8C036c8900 - Batch ID: 5712 - Filecoin minerID f022289</v>
      </c>
      <c r="B5" t="str">
        <v>CN</v>
      </c>
      <c r="C5" t="str">
        <v>CN-SC</v>
      </c>
      <c r="D5" t="str">
        <f>IF(ISTEXT(B5),VLOOKUP(B5,Countries!$A$2:$B$250,2),"")</f>
        <v/>
      </c>
      <c r="E5" t="str">
        <f>IF(OR(AND(ISBLANK(A5),ISBLANK(B5),ISBLANK(C5)),AND(ISTEXT(A5),ISTEXT(B5),ISTEXT(C5))),"OK","Incomplete")</f>
        <v>OK</v>
      </c>
    </row>
    <row r="6">
      <c r="A6" t="str">
        <v>Blockchain Network ID: 246 - Tokenization Protocol: ZL 1.0.0 - Smart Contract Address: 0x2248a8E53c8cf533AEEf2369FfF9Dc8C036c8900 - Batch ID: 5713 - Filecoin minerID f019362</v>
      </c>
      <c r="B6" t="str">
        <v>CN</v>
      </c>
      <c r="C6" t="str">
        <v>CN-HB</v>
      </c>
      <c r="D6" t="str">
        <f>IF(ISTEXT(B6),VLOOKUP(B6,Countries!$A$2:$B$250,2),"")</f>
        <v/>
      </c>
      <c r="E6" t="str">
        <f>IF(OR(AND(ISBLANK(A6),ISBLANK(B6),ISBLANK(C6)),AND(ISTEXT(A6),ISTEXT(B6),ISTEXT(C6))),"OK","Incomplete")</f>
        <v>OK</v>
      </c>
    </row>
    <row r="7">
      <c r="A7" t="str">
        <v>Blockchain Network ID: 246 - Tokenization Protocol: ZL 1.0.0 - Smart Contract Address: 0x2248a8E53c8cf533AEEf2369FfF9Dc8C036c8900 - Batch ID: 5714 - Filecoin minerID f07998</v>
      </c>
      <c r="B7" t="str">
        <v>CN</v>
      </c>
      <c r="C7" t="str">
        <v>CN-HB</v>
      </c>
      <c r="D7" t="str">
        <f>IF(ISTEXT(B7),VLOOKUP(B7,Countries!$A$2:$B$250,2),"")</f>
        <v/>
      </c>
      <c r="E7" t="str">
        <f>IF(OR(AND(ISBLANK(A7),ISBLANK(B7),ISBLANK(C7)),AND(ISTEXT(A7),ISTEXT(B7),ISTEXT(C7))),"OK","Incomplete")</f>
        <v>OK</v>
      </c>
    </row>
    <row r="8">
      <c r="A8" t="str">
        <v>Blockchain Network ID: 246 - Tokenization Protocol: ZL 1.0.0 - Smart Contract Address: 0x2248a8E53c8cf533AEEf2369FfF9Dc8C036c8900 - Batch ID: 5715 - Filecoin minerID f02606</v>
      </c>
      <c r="B8" t="str">
        <v>CN</v>
      </c>
      <c r="C8" t="str">
        <v>CN-ZJ</v>
      </c>
      <c r="D8" t="str">
        <f>IF(ISTEXT(B8),VLOOKUP(B8,Countries!$A$2:$B$250,2),"")</f>
        <v/>
      </c>
      <c r="E8" t="str">
        <f>IF(OR(AND(ISBLANK(A8),ISBLANK(B8),ISBLANK(C8)),AND(ISTEXT(A8),ISTEXT(B8),ISTEXT(C8))),"OK","Incomplete")</f>
        <v>OK</v>
      </c>
    </row>
    <row r="9">
      <c r="A9" t="str">
        <v>Blockchain Network ID: 246 - Tokenization Protocol: ZL 1.0.0 - Smart Contract Address: 0x2248a8E53c8cf533AEEf2369FfF9Dc8C036c8900 - Batch ID: 5716 - Filecoin minerID f0147496</v>
      </c>
      <c r="B9" t="str">
        <v>CN</v>
      </c>
      <c r="C9" t="str">
        <v>CN-BJ</v>
      </c>
      <c r="D9" t="str">
        <f>IF(ISTEXT(B9),VLOOKUP(B9,Countries!$A$2:$B$250,2),"")</f>
        <v/>
      </c>
      <c r="E9" t="str">
        <f>IF(OR(AND(ISBLANK(A9),ISBLANK(B9),ISBLANK(C9)),AND(ISTEXT(A9),ISTEXT(B9),ISTEXT(C9))),"OK","Incomplete")</f>
        <v>OK</v>
      </c>
    </row>
    <row r="10">
      <c r="A10" t="str">
        <v>Blockchain Network ID: 246 - Tokenization Protocol: ZL 1.0.0 - Smart Contract Address: 0x2248a8E53c8cf533AEEf2369FfF9Dc8C036c8900 - Batch ID: 5717 - Filecoin minerID f0133235</v>
      </c>
      <c r="B10" t="str">
        <v>CN</v>
      </c>
      <c r="C10" t="str">
        <v>CN-HA</v>
      </c>
      <c r="D10" t="str">
        <f>IF(ISTEXT(B10),VLOOKUP(B10,Countries!$A$2:$B$250,2),"")</f>
        <v/>
      </c>
      <c r="E10" t="str">
        <f>IF(OR(AND(ISBLANK(A10),ISBLANK(B10),ISBLANK(C10)),AND(ISTEXT(A10),ISTEXT(B10),ISTEXT(C10))),"OK","Incomplete")</f>
        <v>OK</v>
      </c>
    </row>
    <row r="11">
      <c r="A11" t="str">
        <v>Blockchain Network ID: 246 - Tokenization Protocol: ZL 1.0.0 - Smart Contract Address: 0x2248a8E53c8cf533AEEf2369FfF9Dc8C036c8900 - Batch ID: 5718 - Filecoin minerID f0536177</v>
      </c>
      <c r="B11" t="str">
        <v>CN</v>
      </c>
      <c r="C11" t="str">
        <v>CN-HA</v>
      </c>
      <c r="D11" t="str">
        <f>IF(ISTEXT(B11),VLOOKUP(B11,Countries!$A$2:$B$250,2),"")</f>
        <v/>
      </c>
      <c r="E11" t="str">
        <f>IF(OR(AND(ISBLANK(A11),ISBLANK(B11),ISBLANK(C11)),AND(ISTEXT(A11),ISTEXT(B11),ISTEXT(C11))),"OK","Incomplete")</f>
        <v>OK</v>
      </c>
    </row>
    <row r="12">
      <c r="A12" t="str">
        <v>Blockchain Network ID: 246 - Tokenization Protocol: ZL 1.0.0 - Smart Contract Address: 0x2248a8E53c8cf533AEEf2369FfF9Dc8C036c8900 - Batch ID: 5719 - Filecoin minerID f0711266</v>
      </c>
      <c r="B12" t="str">
        <v>CN</v>
      </c>
      <c r="C12" t="str">
        <v>CN-HA</v>
      </c>
      <c r="D12" t="str">
        <f>IF(ISTEXT(B12),VLOOKUP(B12,Countries!$A$2:$B$250,2),"")</f>
        <v/>
      </c>
      <c r="E12" t="str">
        <f>IF(OR(AND(ISBLANK(A12),ISBLANK(B12),ISBLANK(C12)),AND(ISTEXT(A12),ISTEXT(B12),ISTEXT(C12))),"OK","Incomplete")</f>
        <v>OK</v>
      </c>
    </row>
    <row r="13">
      <c r="A13" t="str">
        <v>Blockchain Network ID: 246 - Tokenization Protocol: ZL 1.0.0 - Smart Contract Address: 0x2248a8E53c8cf533AEEf2369FfF9Dc8C036c8900 - Batch ID: 5720 - Filecoin minerID f02299</v>
      </c>
      <c r="B13" t="str">
        <v>CN</v>
      </c>
      <c r="C13" t="str">
        <v>CN-BJ</v>
      </c>
      <c r="D13" t="str">
        <f>IF(ISTEXT(B13),VLOOKUP(B13,Countries!$A$2:$B$250,2),"")</f>
        <v/>
      </c>
      <c r="E13" t="str">
        <f>IF(OR(AND(ISBLANK(A13),ISBLANK(B13),ISBLANK(C13)),AND(ISTEXT(A13),ISTEXT(B13),ISTEXT(C13))),"OK","Incomplete")</f>
        <v>OK</v>
      </c>
    </row>
    <row r="14">
      <c r="A14" t="str">
        <v>Blockchain Network ID: 246 - Tokenization Protocol: ZL 1.0.0 - Smart Contract Address: 0x2248a8E53c8cf533AEEf2369FfF9Dc8C036c8900 - Batch ID: 5721 - Filecoin minerID f019041</v>
      </c>
      <c r="B14" t="str">
        <v>CN</v>
      </c>
      <c r="C14" t="str">
        <v>CN-ZJ</v>
      </c>
      <c r="D14" t="str">
        <f>IF(ISTEXT(B14),VLOOKUP(B14,Countries!$A$2:$B$250,2),"")</f>
        <v/>
      </c>
      <c r="E14" t="str">
        <f>IF(OR(AND(ISBLANK(A14),ISBLANK(B14),ISBLANK(C14)),AND(ISTEXT(A14),ISTEXT(B14),ISTEXT(C14))),"OK","Incomplete")</f>
        <v>OK</v>
      </c>
    </row>
    <row r="15">
      <c r="A15" t="str">
        <v>Blockchain Network ID: 246 - Tokenization Protocol: ZL 1.0.0 - Smart Contract Address: 0x2248a8E53c8cf533AEEf2369FfF9Dc8C036c8900 - Batch ID: 5722 - Filecoin minerID f0101019</v>
      </c>
      <c r="B15" t="str">
        <v>CN</v>
      </c>
      <c r="C15" t="str">
        <v>CN-HA</v>
      </c>
      <c r="D15" t="str">
        <f>IF(ISTEXT(B15),VLOOKUP(B15,Countries!$A$2:$B$250,2),"")</f>
        <v/>
      </c>
      <c r="E15" t="str">
        <f>IF(OR(AND(ISBLANK(A15),ISBLANK(B15),ISBLANK(C15)),AND(ISTEXT(A15),ISTEXT(B15),ISTEXT(C15))),"OK","Incomplete")</f>
        <v>OK</v>
      </c>
    </row>
    <row r="16">
      <c r="A16" t="str">
        <v>Blockchain Network ID: 246 - Tokenization Protocol: ZL 1.0.0 - Smart Contract Address: 0x2248a8E53c8cf533AEEf2369FfF9Dc8C036c8900 - Batch ID: 5723 - Filecoin minerID f0147487</v>
      </c>
      <c r="B16" t="str">
        <v>CN</v>
      </c>
      <c r="C16" t="str">
        <v>CN-BJ</v>
      </c>
      <c r="D16" t="str">
        <f>IF(ISTEXT(B16),VLOOKUP(B16,Countries!$A$2:$B$250,2),"")</f>
        <v/>
      </c>
      <c r="E16" t="str">
        <f>IF(OR(AND(ISBLANK(A16),ISBLANK(B16),ISBLANK(C16)),AND(ISTEXT(A16),ISTEXT(B16),ISTEXT(C16))),"OK","Incomplete")</f>
        <v>OK</v>
      </c>
    </row>
    <row r="17">
      <c r="A17" t="str">
        <v>Blockchain Network ID: 246 - Tokenization Protocol: ZL 1.0.0 - Smart Contract Address: 0x2248a8E53c8cf533AEEf2369FfF9Dc8C036c8900 - Batch ID: 5724 - Filecoin minerID f0101016</v>
      </c>
      <c r="B17" t="str">
        <v>CN</v>
      </c>
      <c r="C17" t="str">
        <v>CN-HA</v>
      </c>
      <c r="D17" t="str">
        <f>IF(ISTEXT(B17),VLOOKUP(B17,Countries!$A$2:$B$250,2),"")</f>
        <v/>
      </c>
      <c r="E17" t="str">
        <f>IF(OR(AND(ISBLANK(A17),ISBLANK(B17),ISBLANK(C17)),AND(ISTEXT(A17),ISTEXT(B17),ISTEXT(C17))),"OK","Incomplete")</f>
        <v>OK</v>
      </c>
    </row>
    <row r="18">
      <c r="A18" t="str">
        <v>Blockchain Network ID: 246 - Tokenization Protocol: ZL 1.0.0 - Smart Contract Address: 0x2248a8E53c8cf533AEEf2369FfF9Dc8C036c8900 - Batch ID: 5725 - Filecoin minerID f0101017</v>
      </c>
      <c r="B18" t="str">
        <v>CN</v>
      </c>
      <c r="C18" t="str">
        <v>CN-HA</v>
      </c>
      <c r="D18" t="str">
        <f>IF(ISTEXT(B18),VLOOKUP(B18,Countries!$A$2:$B$250,2),"")</f>
        <v/>
      </c>
      <c r="E18" t="str">
        <f>IF(OR(AND(ISBLANK(A18),ISBLANK(B18),ISBLANK(C18)),AND(ISTEXT(A18),ISTEXT(B18),ISTEXT(C18))),"OK","Incomplete")</f>
        <v>OK</v>
      </c>
    </row>
    <row r="19">
      <c r="A19" t="str">
        <v>Blockchain Network ID: 246 - Tokenization Protocol: ZL 1.0.0 - Smart Contract Address: 0x2248a8E53c8cf533AEEf2369FfF9Dc8C036c8900 - Batch ID: 5726 - Filecoin minerID f020330</v>
      </c>
      <c r="B19" t="str">
        <v>CN</v>
      </c>
      <c r="C19" t="str">
        <v>CN-BJ</v>
      </c>
      <c r="D19" t="str">
        <f>IF(ISTEXT(B19),VLOOKUP(B19,Countries!$A$2:$B$250,2),"")</f>
        <v/>
      </c>
      <c r="E19" t="str">
        <f>IF(OR(AND(ISBLANK(A19),ISBLANK(B19),ISBLANK(C19)),AND(ISTEXT(A19),ISTEXT(B19),ISTEXT(C19))),"OK","Incomplete")</f>
        <v>OK</v>
      </c>
    </row>
    <row r="20">
      <c r="A20" t="str">
        <v>Blockchain Network ID: 246 - Tokenization Protocol: ZL 1.0.0 - Smart Contract Address: 0x2248a8E53c8cf533AEEf2369FfF9Dc8C036c8900 - Batch ID: 5727 - Filecoin minerID f01248</v>
      </c>
      <c r="B20" t="str">
        <v>CN</v>
      </c>
      <c r="C20" t="str">
        <v>CN-GD</v>
      </c>
      <c r="D20" t="str">
        <f>IF(ISTEXT(B20),VLOOKUP(B20,Countries!$A$2:$B$250,2),"")</f>
        <v/>
      </c>
      <c r="E20" t="str">
        <f>IF(OR(AND(ISBLANK(A20),ISBLANK(B20),ISBLANK(C20)),AND(ISTEXT(A20),ISTEXT(B20),ISTEXT(C20))),"OK","Incomplete")</f>
        <v>OK</v>
      </c>
    </row>
    <row r="21">
      <c r="A21" t="str">
        <v>Blockchain Network ID: 246 - Tokenization Protocol: ZL 1.0.0 - Smart Contract Address: 0x2248a8E53c8cf533AEEf2369FfF9Dc8C036c8900 - Batch ID: 5728 - Filecoin minerID f0154039</v>
      </c>
      <c r="B21" t="str">
        <v>CN</v>
      </c>
      <c r="C21" t="str">
        <v>CN-GD</v>
      </c>
      <c r="D21" t="str">
        <f>IF(ISTEXT(B21),VLOOKUP(B21,Countries!$A$2:$B$250,2),"")</f>
        <v/>
      </c>
      <c r="E21" t="str">
        <f>IF(OR(AND(ISBLANK(A21),ISBLANK(B21),ISBLANK(C21)),AND(ISTEXT(A21),ISTEXT(B21),ISTEXT(C21))),"OK","Incomplete")</f>
        <v>OK</v>
      </c>
    </row>
    <row r="22">
      <c r="A22" t="str">
        <v>Blockchain Network ID: 246 - Tokenization Protocol: ZL 1.0.0 - Smart Contract Address: 0x2248a8E53c8cf533AEEf2369FfF9Dc8C036c8900 - Batch ID: 5729 - Filecoin minerID f0463143</v>
      </c>
      <c r="B22" t="str">
        <v>CN</v>
      </c>
      <c r="C22" t="str">
        <v>CN-GD</v>
      </c>
      <c r="D22" t="str">
        <f>IF(ISTEXT(B22),VLOOKUP(B22,Countries!$A$2:$B$250,2),"")</f>
        <v/>
      </c>
      <c r="E22" t="str">
        <f>IF(OR(AND(ISBLANK(A22),ISBLANK(B22),ISBLANK(C22)),AND(ISTEXT(A22),ISTEXT(B22),ISTEXT(C22))),"OK","Incomplete")</f>
        <v>OK</v>
      </c>
    </row>
    <row r="23">
      <c r="A23" t="str">
        <v>Blockchain Network ID: 246 - Tokenization Protocol: ZL 1.0.0 - Smart Contract Address: 0x2248a8E53c8cf533AEEf2369FfF9Dc8C036c8900 - Batch ID: 5730 - Filecoin minerID f034258</v>
      </c>
      <c r="B23" t="str">
        <v>CN</v>
      </c>
      <c r="C23" t="str">
        <v>CN-SC</v>
      </c>
      <c r="D23" t="str">
        <f>IF(ISTEXT(B23),VLOOKUP(B23,Countries!$A$2:$B$250,2),"")</f>
        <v/>
      </c>
      <c r="E23" t="str">
        <f>IF(OR(AND(ISBLANK(A23),ISBLANK(B23),ISBLANK(C23)),AND(ISTEXT(A23),ISTEXT(B23),ISTEXT(C23))),"OK","Incomplete")</f>
        <v>OK</v>
      </c>
    </row>
    <row r="24">
      <c r="A24" t="str">
        <v>Blockchain Network ID: 246 - Tokenization Protocol: ZL 1.0.0 - Smart Contract Address: 0x2248a8E53c8cf533AEEf2369FfF9Dc8C036c8900 - Batch ID: 5731 - Filecoin minerID f039940</v>
      </c>
      <c r="B24" t="str">
        <v>CN</v>
      </c>
      <c r="C24" t="str">
        <v>CN-SC</v>
      </c>
      <c r="D24" t="str">
        <f>IF(ISTEXT(B24),VLOOKUP(B24,Countries!$A$2:$B$250,2),"")</f>
        <v/>
      </c>
      <c r="E24" t="str">
        <f>IF(OR(AND(ISBLANK(A24),ISBLANK(B24),ISBLANK(C24)),AND(ISTEXT(A24),ISTEXT(B24),ISTEXT(C24))),"OK","Incomplete")</f>
        <v>OK</v>
      </c>
    </row>
    <row r="25">
      <c r="A25" t="str">
        <v>Blockchain Network ID: 246 - Tokenization Protocol: ZL 1.0.0 - Smart Contract Address: 0x2248a8E53c8cf533AEEf2369FfF9Dc8C036c8900 - Batch ID: 5732 - Filecoin minerID f01756683</v>
      </c>
      <c r="B25" t="str">
        <v>CN</v>
      </c>
      <c r="C25" t="str">
        <v>CN-GD</v>
      </c>
      <c r="D25" t="str">
        <f>IF(ISTEXT(B25),VLOOKUP(B25,Countries!$A$2:$B$250,2),"")</f>
        <v/>
      </c>
      <c r="E25" t="str">
        <f>IF(OR(AND(ISBLANK(A25),ISBLANK(B25),ISBLANK(C25)),AND(ISTEXT(A25),ISTEXT(B25),ISTEXT(C25))),"OK","Incomplete")</f>
        <v>OK</v>
      </c>
    </row>
    <row r="26">
      <c r="A26" t="str">
        <v>Blockchain Network ID: 246 - Tokenization Protocol: ZL 1.0.0 - Smart Contract Address: 0x2248a8E53c8cf533AEEf2369FfF9Dc8C036c8900 - Batch ID: 5733 - Filecoin minerID f02417</v>
      </c>
      <c r="B26" t="str">
        <v>CN</v>
      </c>
      <c r="C26" t="str">
        <v>CN-HE</v>
      </c>
      <c r="D26" t="str">
        <f>IF(ISTEXT(B26),VLOOKUP(B26,Countries!$A$2:$B$250,2),"")</f>
        <v/>
      </c>
      <c r="E26" t="str">
        <f>IF(OR(AND(ISBLANK(A26),ISBLANK(B26),ISBLANK(C26)),AND(ISTEXT(A26),ISTEXT(B26),ISTEXT(C26))),"OK","Incomplete")</f>
        <v>OK</v>
      </c>
    </row>
    <row r="27">
      <c r="A27" t="str">
        <v>Blockchain Network ID: 246 - Tokenization Protocol: ZL 1.0.0 - Smart Contract Address: 0x2248a8E53c8cf533AEEf2369FfF9Dc8C036c8900 - Batch ID: 5734 - Filecoin minerID f0142637</v>
      </c>
      <c r="B27" t="str">
        <v>CN</v>
      </c>
      <c r="C27" t="str">
        <v>CN-SC</v>
      </c>
      <c r="D27" t="str">
        <f>IF(ISTEXT(B27),VLOOKUP(B27,Countries!$A$2:$B$250,2),"")</f>
        <v/>
      </c>
      <c r="E27" t="str">
        <f>IF(OR(AND(ISBLANK(A27),ISBLANK(B27),ISBLANK(C27)),AND(ISTEXT(A27),ISTEXT(B27),ISTEXT(C27))),"OK","Incomplete")</f>
        <v>OK</v>
      </c>
    </row>
    <row r="28">
      <c r="A28" t="str">
        <v>Blockchain Network ID: 246 - Tokenization Protocol: ZL 1.0.0 - Smart Contract Address: 0x2248a8E53c8cf533AEEf2369FfF9Dc8C036c8900 - Batch ID: 5735 - Filecoin minerID f0137168</v>
      </c>
      <c r="B28" t="str">
        <v>CN</v>
      </c>
      <c r="C28" t="str">
        <v>CN-BJ</v>
      </c>
      <c r="D28" t="str">
        <f>IF(ISTEXT(B28),VLOOKUP(B28,Countries!$A$2:$B$250,2),"")</f>
        <v/>
      </c>
      <c r="E28" t="str">
        <f>IF(OR(AND(ISBLANK(A28),ISBLANK(B28),ISBLANK(C28)),AND(ISTEXT(A28),ISTEXT(B28),ISTEXT(C28))),"OK","Incomplete")</f>
        <v>OK</v>
      </c>
    </row>
    <row r="29">
      <c r="A29" t="str">
        <v>Blockchain Network ID: 246 - Tokenization Protocol: ZL 1.0.0 - Smart Contract Address: 0x2248a8E53c8cf533AEEf2369FfF9Dc8C036c8900 - Batch ID: 5736 - Filecoin minerID f01012</v>
      </c>
      <c r="B29" t="str">
        <v>CN</v>
      </c>
      <c r="C29" t="str">
        <v>CN-ZJ</v>
      </c>
      <c r="D29" t="str">
        <f>IF(ISTEXT(B29),VLOOKUP(B29,Countries!$A$2:$B$250,2),"")</f>
        <v/>
      </c>
      <c r="E29" t="str">
        <f>IF(OR(AND(ISBLANK(A29),ISBLANK(B29),ISBLANK(C29)),AND(ISTEXT(A29),ISTEXT(B29),ISTEXT(C29))),"OK","Incomplete")</f>
        <v>OK</v>
      </c>
    </row>
    <row r="30">
      <c r="A30" t="str">
        <v>Blockchain Network ID: 246 - Tokenization Protocol: ZL 1.0.0 - Smart Contract Address: 0x2248a8E53c8cf533AEEf2369FfF9Dc8C036c8900 - Batch ID: 5737 - Filecoin minerID f01152</v>
      </c>
      <c r="B30" t="str">
        <v>CN</v>
      </c>
      <c r="C30" t="str">
        <v>CN-BJ</v>
      </c>
      <c r="D30" t="str">
        <f>IF(ISTEXT(B30),VLOOKUP(B30,Countries!$A$2:$B$250,2),"")</f>
        <v/>
      </c>
      <c r="E30" t="str">
        <f>IF(OR(AND(ISBLANK(A30),ISBLANK(B30),ISBLANK(C30)),AND(ISTEXT(A30),ISTEXT(B30),ISTEXT(C30))),"OK","Incomplete")</f>
        <v>OK</v>
      </c>
    </row>
    <row r="31">
      <c r="A31" t="str">
        <v>Blockchain Network ID: 246 - Tokenization Protocol: ZL 1.0.0 - Smart Contract Address: 0x2248a8E53c8cf533AEEf2369FfF9Dc8C036c8900 - Batch ID: 5738 - Filecoin minerID f01155</v>
      </c>
      <c r="B31" t="str">
        <v>CN</v>
      </c>
      <c r="C31" t="str">
        <v>CN-SH</v>
      </c>
      <c r="D31" t="str">
        <f>IF(ISTEXT(B31),VLOOKUP(B31,Countries!$A$2:$B$250,2),"")</f>
        <v/>
      </c>
      <c r="E31" t="str">
        <f>IF(OR(AND(ISBLANK(A31),ISBLANK(B31),ISBLANK(C31)),AND(ISTEXT(A31),ISTEXT(B31),ISTEXT(C31))),"OK","Incomplete")</f>
        <v>OK</v>
      </c>
    </row>
    <row r="32">
      <c r="A32" t="str">
        <v>Blockchain Network ID: 246 - Tokenization Protocol: ZL 1.0.0 - Smart Contract Address: 0x2248a8E53c8cf533AEEf2369FfF9Dc8C036c8900 - Batch ID: 5739 - Filecoin minerID f01231</v>
      </c>
      <c r="B32" t="str">
        <v>CN</v>
      </c>
      <c r="C32" t="str">
        <v>CN-SH</v>
      </c>
      <c r="D32" t="str">
        <f>IF(ISTEXT(B32),VLOOKUP(B32,Countries!$A$2:$B$250,2),"")</f>
        <v/>
      </c>
      <c r="E32" t="str">
        <f>IF(OR(AND(ISBLANK(A32),ISBLANK(B32),ISBLANK(C32)),AND(ISTEXT(A32),ISTEXT(B32),ISTEXT(C32))),"OK","Incomplete")</f>
        <v>OK</v>
      </c>
    </row>
    <row r="33">
      <c r="A33" t="str">
        <v>Blockchain Network ID: 246 - Tokenization Protocol: ZL 1.0.0 - Smart Contract Address: 0x2248a8E53c8cf533AEEf2369FfF9Dc8C036c8900 - Batch ID: 5740 - Filecoin minerID f01241</v>
      </c>
      <c r="B33" t="str">
        <v>CN</v>
      </c>
      <c r="C33" t="str">
        <v>CN-XJ</v>
      </c>
      <c r="D33" t="str">
        <f>IF(ISTEXT(B33),VLOOKUP(B33,Countries!$A$2:$B$250,2),"")</f>
        <v/>
      </c>
      <c r="E33" t="str">
        <f>IF(OR(AND(ISBLANK(A33),ISBLANK(B33),ISBLANK(C33)),AND(ISTEXT(A33),ISTEXT(B33),ISTEXT(C33))),"OK","Incomplete")</f>
        <v>OK</v>
      </c>
    </row>
    <row r="34">
      <c r="A34" t="str">
        <v>Blockchain Network ID: 246 - Tokenization Protocol: ZL 1.0.0 - Smart Contract Address: 0x2248a8E53c8cf533AEEf2369FfF9Dc8C036c8900 - Batch ID: 5741 - Filecoin minerID f01272</v>
      </c>
      <c r="B34" t="str">
        <v>CN</v>
      </c>
      <c r="C34" t="str">
        <v>CN-JS</v>
      </c>
      <c r="D34" t="str">
        <f>IF(ISTEXT(B34),VLOOKUP(B34,Countries!$A$2:$B$250,2),"")</f>
        <v/>
      </c>
      <c r="E34" t="str">
        <f>IF(OR(AND(ISBLANK(A34),ISBLANK(B34),ISBLANK(C34)),AND(ISTEXT(A34),ISTEXT(B34),ISTEXT(C34))),"OK","Incomplete")</f>
        <v>OK</v>
      </c>
    </row>
    <row r="35">
      <c r="A35" t="str">
        <v>Blockchain Network ID: 246 - Tokenization Protocol: ZL 1.0.0 - Smart Contract Address: 0x2248a8E53c8cf533AEEf2369FfF9Dc8C036c8900 - Batch ID: 5742 - Filecoin minerID f01279</v>
      </c>
      <c r="B35" t="str">
        <v>CN</v>
      </c>
      <c r="C35" t="str">
        <v>CN-SC</v>
      </c>
      <c r="D35" t="str">
        <f>IF(ISTEXT(B35),VLOOKUP(B35,Countries!$A$2:$B$250,2),"")</f>
        <v/>
      </c>
      <c r="E35" t="str">
        <f>IF(OR(AND(ISBLANK(A35),ISBLANK(B35),ISBLANK(C35)),AND(ISTEXT(A35),ISTEXT(B35),ISTEXT(C35))),"OK","Incomplete")</f>
        <v>OK</v>
      </c>
    </row>
    <row r="36">
      <c r="A36" t="str">
        <v>Blockchain Network ID: 246 - Tokenization Protocol: ZL 1.0.0 - Smart Contract Address: 0x2248a8E53c8cf533AEEf2369FfF9Dc8C036c8900 - Batch ID: 5743 - Filecoin minerID f01280</v>
      </c>
      <c r="B36" t="str">
        <v>CN</v>
      </c>
      <c r="C36" t="str">
        <v>CN-JS</v>
      </c>
      <c r="D36" t="str">
        <f>IF(ISTEXT(B36),VLOOKUP(B36,Countries!$A$2:$B$250,2),"")</f>
        <v/>
      </c>
      <c r="E36" t="str">
        <f>IF(OR(AND(ISBLANK(A36),ISBLANK(B36),ISBLANK(C36)),AND(ISTEXT(A36),ISTEXT(B36),ISTEXT(C36))),"OK","Incomplete")</f>
        <v>OK</v>
      </c>
    </row>
    <row r="37">
      <c r="A37" t="str">
        <v>Blockchain Network ID: 246 - Tokenization Protocol: ZL 1.0.0 - Smart Contract Address: 0x2248a8E53c8cf533AEEf2369FfF9Dc8C036c8900 - Batch ID: 5744 - Filecoin minerID f01287</v>
      </c>
      <c r="B37" t="str">
        <v>CN</v>
      </c>
      <c r="C37" t="str">
        <v>CN-ZJ</v>
      </c>
      <c r="D37" t="str">
        <f>IF(ISTEXT(B37),VLOOKUP(B37,Countries!$A$2:$B$250,2),"")</f>
        <v/>
      </c>
      <c r="E37" t="str">
        <f>IF(OR(AND(ISBLANK(A37),ISBLANK(B37),ISBLANK(C37)),AND(ISTEXT(A37),ISTEXT(B37),ISTEXT(C37))),"OK","Incomplete")</f>
        <v>OK</v>
      </c>
    </row>
    <row r="38">
      <c r="A38" t="str">
        <v>Blockchain Network ID: 246 - Tokenization Protocol: ZL 1.0.0 - Smart Contract Address: 0x2248a8E53c8cf533AEEf2369FfF9Dc8C036c8900 - Batch ID: 5745 - Filecoin minerID f01289</v>
      </c>
      <c r="B38" t="str">
        <v>CN</v>
      </c>
      <c r="C38" t="str">
        <v>CN-ZJ</v>
      </c>
      <c r="D38" t="str">
        <f>IF(ISTEXT(B38),VLOOKUP(B38,Countries!$A$2:$B$250,2),"")</f>
        <v/>
      </c>
      <c r="E38" t="str">
        <f>IF(OR(AND(ISBLANK(A38),ISBLANK(B38),ISBLANK(C38)),AND(ISTEXT(A38),ISTEXT(B38),ISTEXT(C38))),"OK","Incomplete")</f>
        <v>OK</v>
      </c>
    </row>
    <row r="39">
      <c r="A39" t="str">
        <v>Blockchain Network ID: 246 - Tokenization Protocol: ZL 1.0.0 - Smart Contract Address: 0x2248a8E53c8cf533AEEf2369FfF9Dc8C036c8900 - Batch ID: 5746 - Filecoin minerID f01314</v>
      </c>
      <c r="B39" t="str">
        <v>CN</v>
      </c>
      <c r="C39" t="str">
        <v>CN-ZJ</v>
      </c>
      <c r="D39" t="str">
        <f>IF(ISTEXT(B39),VLOOKUP(B39,Countries!$A$2:$B$250,2),"")</f>
        <v/>
      </c>
      <c r="E39" t="str">
        <f>IF(OR(AND(ISBLANK(A39),ISBLANK(B39),ISBLANK(C39)),AND(ISTEXT(A39),ISTEXT(B39),ISTEXT(C39))),"OK","Incomplete")</f>
        <v>OK</v>
      </c>
    </row>
    <row r="40">
      <c r="A40" t="str">
        <v>Blockchain Network ID: 246 - Tokenization Protocol: ZL 1.0.0 - Smart Contract Address: 0x2248a8E53c8cf533AEEf2369FfF9Dc8C036c8900 - Batch ID: 5747 - Filecoin minerID f01750</v>
      </c>
      <c r="B40" t="str">
        <v>CN</v>
      </c>
      <c r="C40" t="str">
        <v>CN-XJ</v>
      </c>
      <c r="D40" t="str">
        <f>IF(ISTEXT(B40),VLOOKUP(B40,Countries!$A$2:$B$250,2),"")</f>
        <v/>
      </c>
      <c r="E40" t="str">
        <f>IF(OR(AND(ISBLANK(A40),ISBLANK(B40),ISBLANK(C40)),AND(ISTEXT(A40),ISTEXT(B40),ISTEXT(C40))),"OK","Incomplete")</f>
        <v>OK</v>
      </c>
    </row>
    <row r="41">
      <c r="A41" t="str">
        <v>Blockchain Network ID: 246 - Tokenization Protocol: ZL 1.0.0 - Smart Contract Address: 0x2248a8E53c8cf533AEEf2369FfF9Dc8C036c8900 - Batch ID: 5748 - Filecoin minerID f01782</v>
      </c>
      <c r="B41" t="str">
        <v>CN</v>
      </c>
      <c r="C41" t="str">
        <v>CN-SH</v>
      </c>
      <c r="D41" t="str">
        <f>IF(ISTEXT(B41),VLOOKUP(B41,Countries!$A$2:$B$250,2),"")</f>
        <v/>
      </c>
      <c r="E41" t="str">
        <f>IF(OR(AND(ISBLANK(A41),ISBLANK(B41),ISBLANK(C41)),AND(ISTEXT(A41),ISTEXT(B41),ISTEXT(C41))),"OK","Incomplete")</f>
        <v>OK</v>
      </c>
    </row>
    <row r="42">
      <c r="A42" t="str">
        <v>Blockchain Network ID: 246 - Tokenization Protocol: ZL 1.0.0 - Smart Contract Address: 0x2248a8E53c8cf533AEEf2369FfF9Dc8C036c8900 - Batch ID: 5749 - Filecoin minerID f01799</v>
      </c>
      <c r="B42" t="str">
        <v>CN</v>
      </c>
      <c r="C42" t="str">
        <v>CN-SD</v>
      </c>
      <c r="D42" t="str">
        <f>IF(ISTEXT(B42),VLOOKUP(B42,Countries!$A$2:$B$250,2),"")</f>
        <v/>
      </c>
      <c r="E42" t="str">
        <f>IF(OR(AND(ISBLANK(A42),ISBLANK(B42),ISBLANK(C42)),AND(ISTEXT(A42),ISTEXT(B42),ISTEXT(C42))),"OK","Incomplete")</f>
        <v>OK</v>
      </c>
    </row>
    <row r="43">
      <c r="A43" t="str">
        <v>Blockchain Network ID: 246 - Tokenization Protocol: ZL 1.0.0 - Smart Contract Address: 0x2248a8E53c8cf533AEEf2369FfF9Dc8C036c8900 - Batch ID: 5750 - Filecoin minerID f01800</v>
      </c>
      <c r="B43" t="str">
        <v>CN</v>
      </c>
      <c r="C43" t="str">
        <v>CN-SC</v>
      </c>
      <c r="D43" t="str">
        <f>IF(ISTEXT(B43),VLOOKUP(B43,Countries!$A$2:$B$250,2),"")</f>
        <v/>
      </c>
      <c r="E43" t="str">
        <f>IF(OR(AND(ISBLANK(A43),ISBLANK(B43),ISBLANK(C43)),AND(ISTEXT(A43),ISTEXT(B43),ISTEXT(C43))),"OK","Incomplete")</f>
        <v>OK</v>
      </c>
    </row>
    <row r="44">
      <c r="A44" t="str">
        <v>Blockchain Network ID: 246 - Tokenization Protocol: ZL 1.0.0 - Smart Contract Address: 0x2248a8E53c8cf533AEEf2369FfF9Dc8C036c8900 - Batch ID: 5751 - Filecoin minerID f02381</v>
      </c>
      <c r="B44" t="str">
        <v>CN</v>
      </c>
      <c r="C44" t="str">
        <v>CN-GD</v>
      </c>
      <c r="D44" t="str">
        <f>IF(ISTEXT(B44),VLOOKUP(B44,Countries!$A$2:$B$250,2),"")</f>
        <v/>
      </c>
      <c r="E44" t="str">
        <f>IF(OR(AND(ISBLANK(A44),ISBLANK(B44),ISBLANK(C44)),AND(ISTEXT(A44),ISTEXT(B44),ISTEXT(C44))),"OK","Incomplete")</f>
        <v>OK</v>
      </c>
    </row>
    <row r="45">
      <c r="A45" t="str">
        <v>Blockchain Network ID: 246 - Tokenization Protocol: ZL 1.0.0 - Smart Contract Address: 0x2248a8E53c8cf533AEEf2369FfF9Dc8C036c8900 - Batch ID: 5752 - Filecoin minerID f02399</v>
      </c>
      <c r="B45" t="str">
        <v>CN</v>
      </c>
      <c r="C45" t="str">
        <v>CN-SH</v>
      </c>
      <c r="D45" t="str">
        <f>IF(ISTEXT(B45),VLOOKUP(B45,Countries!$A$2:$B$250,2),"")</f>
        <v/>
      </c>
      <c r="E45" t="str">
        <f>IF(OR(AND(ISBLANK(A45),ISBLANK(B45),ISBLANK(C45)),AND(ISTEXT(A45),ISTEXT(B45),ISTEXT(C45))),"OK","Incomplete")</f>
        <v>OK</v>
      </c>
    </row>
    <row r="46">
      <c r="A46" t="str">
        <v>Blockchain Network ID: 246 - Tokenization Protocol: ZL 1.0.0 - Smart Contract Address: 0x2248a8E53c8cf533AEEf2369FfF9Dc8C036c8900 - Batch ID: 5753 - Filecoin minerID f02405</v>
      </c>
      <c r="B46" t="str">
        <v>CN</v>
      </c>
      <c r="C46" t="str">
        <v>CN-GD</v>
      </c>
      <c r="D46" t="str">
        <f>IF(ISTEXT(B46),VLOOKUP(B46,Countries!$A$2:$B$250,2),"")</f>
        <v/>
      </c>
      <c r="E46" t="str">
        <f>IF(OR(AND(ISBLANK(A46),ISBLANK(B46),ISBLANK(C46)),AND(ISTEXT(A46),ISTEXT(B46),ISTEXT(C46))),"OK","Incomplete")</f>
        <v>OK</v>
      </c>
    </row>
    <row r="47">
      <c r="A47" t="str">
        <v>Blockchain Network ID: 246 - Tokenization Protocol: ZL 1.0.0 - Smart Contract Address: 0x2248a8E53c8cf533AEEf2369FfF9Dc8C036c8900 - Batch ID: 5754 - Filecoin minerID f02415</v>
      </c>
      <c r="B47" t="str">
        <v>CN</v>
      </c>
      <c r="C47" t="str">
        <v>CN-GD</v>
      </c>
      <c r="D47" t="str">
        <f>IF(ISTEXT(B47),VLOOKUP(B47,Countries!$A$2:$B$250,2),"")</f>
        <v/>
      </c>
      <c r="E47" t="str">
        <f>IF(OR(AND(ISBLANK(A47),ISBLANK(B47),ISBLANK(C47)),AND(ISTEXT(A47),ISTEXT(B47),ISTEXT(C47))),"OK","Incomplete")</f>
        <v>OK</v>
      </c>
    </row>
    <row r="48">
      <c r="A48" t="str">
        <v>Blockchain Network ID: 246 - Tokenization Protocol: ZL 1.0.0 - Smart Contract Address: 0x2248a8E53c8cf533AEEf2369FfF9Dc8C036c8900 - Batch ID: 5755 - Filecoin minerID f02416</v>
      </c>
      <c r="B48" t="str">
        <v>CN</v>
      </c>
      <c r="C48" t="str">
        <v>CN-GD</v>
      </c>
      <c r="D48" t="str">
        <f>IF(ISTEXT(B48),VLOOKUP(B48,Countries!$A$2:$B$250,2),"")</f>
        <v/>
      </c>
      <c r="E48" t="str">
        <f>IF(OR(AND(ISBLANK(A48),ISBLANK(B48),ISBLANK(C48)),AND(ISTEXT(A48),ISTEXT(B48),ISTEXT(C48))),"OK","Incomplete")</f>
        <v>OK</v>
      </c>
    </row>
    <row r="49">
      <c r="A49" t="str">
        <v>Blockchain Network ID: 246 - Tokenization Protocol: ZL 1.0.0 - Smart Contract Address: 0x2248a8E53c8cf533AEEf2369FfF9Dc8C036c8900 - Batch ID: 5756 - Filecoin minerID f02419</v>
      </c>
      <c r="B49" t="str">
        <v>CN</v>
      </c>
      <c r="C49" t="str">
        <v>CN-SH</v>
      </c>
      <c r="D49" t="str">
        <f>IF(ISTEXT(B49),VLOOKUP(B49,Countries!$A$2:$B$250,2),"")</f>
        <v/>
      </c>
      <c r="E49" t="str">
        <f>IF(OR(AND(ISBLANK(A49),ISBLANK(B49),ISBLANK(C49)),AND(ISTEXT(A49),ISTEXT(B49),ISTEXT(C49))),"OK","Incomplete")</f>
        <v>OK</v>
      </c>
    </row>
    <row r="50">
      <c r="A50" t="str">
        <v>Blockchain Network ID: 246 - Tokenization Protocol: ZL 1.0.0 - Smart Contract Address: 0x2248a8E53c8cf533AEEf2369FfF9Dc8C036c8900 - Batch ID: 5757 - Filecoin minerID f02421</v>
      </c>
      <c r="B50" t="str">
        <v>CN</v>
      </c>
      <c r="C50" t="str">
        <v>CN-SC</v>
      </c>
      <c r="D50" t="str">
        <f>IF(ISTEXT(B50),VLOOKUP(B50,Countries!$A$2:$B$250,2),"")</f>
        <v/>
      </c>
      <c r="E50" t="str">
        <f>IF(OR(AND(ISBLANK(A50),ISBLANK(B50),ISBLANK(C50)),AND(ISTEXT(A50),ISTEXT(B50),ISTEXT(C50))),"OK","Incomplete")</f>
        <v>OK</v>
      </c>
    </row>
    <row r="51">
      <c r="A51" t="str">
        <v>Blockchain Network ID: 246 - Tokenization Protocol: ZL 1.0.0 - Smart Contract Address: 0x2248a8E53c8cf533AEEf2369FfF9Dc8C036c8900 - Batch ID: 5758 - Filecoin minerID f02422</v>
      </c>
      <c r="B51" t="str">
        <v>CN</v>
      </c>
      <c r="C51" t="str">
        <v>CN-SN</v>
      </c>
      <c r="D51" t="str">
        <f>IF(ISTEXT(B51),VLOOKUP(B51,Countries!$A$2:$B$250,2),"")</f>
        <v/>
      </c>
      <c r="E51" t="str">
        <f>IF(OR(AND(ISBLANK(A51),ISBLANK(B51),ISBLANK(C51)),AND(ISTEXT(A51),ISTEXT(B51),ISTEXT(C51))),"OK","Incomplete")</f>
        <v>OK</v>
      </c>
    </row>
    <row r="52">
      <c r="D52" t="str">
        <f>IF(ISTEXT(B52),VLOOKUP(B52,Countries!$A$2:$B$250,2),"")</f>
        <v/>
      </c>
      <c r="E52" t="str">
        <f>IF(OR(AND(ISBLANK(A52),ISBLANK(B52),ISBLANK(C52)),AND(ISTEXT(A52),ISTEXT(B52),ISTEXT(C52))),"OK","Incomplete")</f>
        <v>OK</v>
      </c>
    </row>
    <row r="53">
      <c r="D53" t="str">
        <f>IF(ISTEXT(B53),VLOOKUP(B53,Countries!$A$2:$B$250,2),"")</f>
        <v/>
      </c>
      <c r="E53" t="str">
        <f>IF(OR(AND(ISBLANK(A53),ISBLANK(B53),ISBLANK(C53)),AND(ISTEXT(A53),ISTEXT(B53),ISTEXT(C53))),"OK","Incomplete")</f>
        <v>OK</v>
      </c>
    </row>
    <row r="54">
      <c r="D54" t="str">
        <f>IF(ISTEXT(B54),VLOOKUP(B54,Countries!$A$2:$B$250,2),"")</f>
        <v/>
      </c>
      <c r="E54" t="str">
        <f>IF(OR(AND(ISBLANK(A54),ISBLANK(B54),ISBLANK(C54)),AND(ISTEXT(A54),ISTEXT(B54),ISTEXT(C54))),"OK","Incomplete")</f>
        <v>OK</v>
      </c>
    </row>
    <row r="55">
      <c r="D55" t="str">
        <f>IF(ISTEXT(B55),VLOOKUP(B55,Countries!$A$2:$B$250,2),"")</f>
        <v/>
      </c>
      <c r="E55" t="str">
        <f>IF(OR(AND(ISBLANK(A55),ISBLANK(B55),ISBLANK(C55)),AND(ISTEXT(A55),ISTEXT(B55),ISTEXT(C55))),"OK","Incomplete")</f>
        <v>OK</v>
      </c>
    </row>
    <row r="56">
      <c r="D56" t="str">
        <f>IF(ISTEXT(B56),VLOOKUP(B56,Countries!$A$2:$B$250,2),"")</f>
        <v/>
      </c>
      <c r="E56" t="str">
        <f>IF(OR(AND(ISBLANK(A56),ISBLANK(B56),ISBLANK(C56)),AND(ISTEXT(A56),ISTEXT(B56),ISTEXT(C56))),"OK","Incomplete")</f>
        <v>OK</v>
      </c>
    </row>
    <row r="57">
      <c r="D57" t="str">
        <f>IF(ISTEXT(B57),VLOOKUP(B57,Countries!$A$2:$B$250,2),"")</f>
        <v/>
      </c>
      <c r="E57" t="str">
        <f>IF(OR(AND(ISBLANK(A57),ISBLANK(B57),ISBLANK(C57)),AND(ISTEXT(A57),ISTEXT(B57),ISTEXT(C57))),"OK","Incomplete")</f>
        <v>OK</v>
      </c>
    </row>
    <row r="58">
      <c r="D58" t="str">
        <f>IF(ISTEXT(B58),VLOOKUP(B58,Countries!$A$2:$B$250,2),"")</f>
        <v/>
      </c>
      <c r="E58" t="str">
        <f>IF(OR(AND(ISBLANK(A58),ISBLANK(B58),ISBLANK(C58)),AND(ISTEXT(A58),ISTEXT(B58),ISTEXT(C58))),"OK","Incomplete")</f>
        <v>OK</v>
      </c>
    </row>
    <row r="59">
      <c r="D59" t="str">
        <f>IF(ISTEXT(B59),VLOOKUP(B59,Countries!$A$2:$B$250,2),"")</f>
        <v/>
      </c>
      <c r="E59" t="str">
        <f>IF(OR(AND(ISBLANK(A59),ISBLANK(B59),ISBLANK(C59)),AND(ISTEXT(A59),ISTEXT(B59),ISTEXT(C59))),"OK","Incomplete")</f>
        <v>OK</v>
      </c>
    </row>
    <row r="60">
      <c r="D60" t="str">
        <f>IF(ISTEXT(B60),VLOOKUP(B60,Countries!$A$2:$B$250,2),"")</f>
        <v/>
      </c>
      <c r="E60" t="str">
        <f>IF(OR(AND(ISBLANK(A60),ISBLANK(B60),ISBLANK(C60)),AND(ISTEXT(A60),ISTEXT(B60),ISTEXT(C60))),"OK","Incomplete")</f>
        <v>OK</v>
      </c>
    </row>
    <row r="61">
      <c r="D61" t="str">
        <f>IF(ISTEXT(B61),VLOOKUP(B61,Countries!$A$2:$B$250,2),"")</f>
        <v/>
      </c>
      <c r="E61" t="str">
        <f>IF(OR(AND(ISBLANK(A61),ISBLANK(B61),ISBLANK(C61)),AND(ISTEXT(A61),ISTEXT(B61),ISTEXT(C61))),"OK","Incomplete")</f>
        <v>OK</v>
      </c>
    </row>
    <row r="62">
      <c r="D62" t="str">
        <f>IF(ISTEXT(B62),VLOOKUP(B62,Countries!$A$2:$B$250,2),"")</f>
        <v/>
      </c>
      <c r="E62" t="str">
        <f>IF(OR(AND(ISBLANK(A62),ISBLANK(B62),ISBLANK(C62)),AND(ISTEXT(A62),ISTEXT(B62),ISTEXT(C62))),"OK","Incomplete")</f>
        <v>OK</v>
      </c>
    </row>
    <row r="63">
      <c r="D63" t="str">
        <f>IF(ISTEXT(B63),VLOOKUP(B63,Countries!$A$2:$B$250,2),"")</f>
        <v/>
      </c>
      <c r="E63" t="str">
        <f>IF(OR(AND(ISBLANK(A63),ISBLANK(B63),ISBLANK(C63)),AND(ISTEXT(A63),ISTEXT(B63),ISTEXT(C63))),"OK","Incomplete")</f>
        <v>OK</v>
      </c>
    </row>
    <row r="64">
      <c r="D64" t="str">
        <f>IF(ISTEXT(B64),VLOOKUP(B64,Countries!$A$2:$B$250,2),"")</f>
        <v/>
      </c>
      <c r="E64" t="str">
        <f>IF(OR(AND(ISBLANK(A64),ISBLANK(B64),ISBLANK(C64)),AND(ISTEXT(A64),ISTEXT(B64),ISTEXT(C64))),"OK","Incomplete")</f>
        <v>OK</v>
      </c>
    </row>
    <row r="65">
      <c r="D65" t="str">
        <f>IF(ISTEXT(B65),VLOOKUP(B65,Countries!$A$2:$B$250,2),"")</f>
        <v/>
      </c>
      <c r="E65" t="str">
        <f>IF(OR(AND(ISBLANK(A65),ISBLANK(B65),ISBLANK(C65)),AND(ISTEXT(A65),ISTEXT(B65),ISTEXT(C65))),"OK","Incomplete")</f>
        <v>OK</v>
      </c>
    </row>
    <row r="66">
      <c r="D66" t="str">
        <f>IF(ISTEXT(B66),VLOOKUP(B66,Countries!$A$2:$B$250,2),"")</f>
        <v/>
      </c>
      <c r="E66" t="str">
        <f>IF(OR(AND(ISBLANK(A66),ISBLANK(B66),ISBLANK(C66)),AND(ISTEXT(A66),ISTEXT(B66),ISTEXT(C66))),"OK","Incomplete")</f>
        <v>OK</v>
      </c>
    </row>
    <row r="67">
      <c r="D67" t="str">
        <f>IF(ISTEXT(B67),VLOOKUP(B67,Countries!$A$2:$B$250,2),"")</f>
        <v/>
      </c>
      <c r="E67" t="str">
        <f>IF(OR(AND(ISBLANK(A67),ISBLANK(B67),ISBLANK(C67)),AND(ISTEXT(A67),ISTEXT(B67),ISTEXT(C67))),"OK","Incomplete")</f>
        <v>OK</v>
      </c>
    </row>
    <row r="68">
      <c r="D68" t="str">
        <f>IF(ISTEXT(B68),VLOOKUP(B68,Countries!$A$2:$B$250,2),"")</f>
        <v/>
      </c>
      <c r="E68" t="str">
        <f>IF(OR(AND(ISBLANK(A68),ISBLANK(B68),ISBLANK(C68)),AND(ISTEXT(A68),ISTEXT(B68),ISTEXT(C68))),"OK","Incomplete")</f>
        <v>OK</v>
      </c>
    </row>
    <row r="69">
      <c r="D69" t="str">
        <f>IF(ISTEXT(B69),VLOOKUP(B69,Countries!$A$2:$B$250,2),"")</f>
        <v/>
      </c>
      <c r="E69" t="str">
        <f>IF(OR(AND(ISBLANK(A69),ISBLANK(B69),ISBLANK(C69)),AND(ISTEXT(A69),ISTEXT(B69),ISTEXT(C69))),"OK","Incomplete")</f>
        <v>OK</v>
      </c>
    </row>
    <row r="70">
      <c r="D70" t="str">
        <f>IF(ISTEXT(B70),VLOOKUP(B70,Countries!$A$2:$B$250,2),"")</f>
        <v/>
      </c>
      <c r="E70" t="str">
        <f>IF(OR(AND(ISBLANK(A70),ISBLANK(B70),ISBLANK(C70)),AND(ISTEXT(A70),ISTEXT(B70),ISTEXT(C70))),"OK","Incomplete")</f>
        <v>OK</v>
      </c>
    </row>
    <row r="71">
      <c r="D71" t="str">
        <f>IF(ISTEXT(B71),VLOOKUP(B71,Countries!$A$2:$B$250,2),"")</f>
        <v/>
      </c>
      <c r="E71" t="str">
        <f>IF(OR(AND(ISBLANK(A71),ISBLANK(B71),ISBLANK(C71)),AND(ISTEXT(A71),ISTEXT(B71),ISTEXT(C71))),"OK","Incomplete")</f>
        <v>OK</v>
      </c>
    </row>
    <row r="72">
      <c r="D72" t="str">
        <f>IF(ISTEXT(B72),VLOOKUP(B72,Countries!$A$2:$B$250,2),"")</f>
        <v/>
      </c>
      <c r="E72" t="str">
        <f>IF(OR(AND(ISBLANK(A72),ISBLANK(B72),ISBLANK(C72)),AND(ISTEXT(A72),ISTEXT(B72),ISTEXT(C72))),"OK","Incomplete")</f>
        <v>OK</v>
      </c>
    </row>
    <row r="73">
      <c r="D73" t="str">
        <f>IF(ISTEXT(B73),VLOOKUP(B73,Countries!$A$2:$B$250,2),"")</f>
        <v/>
      </c>
      <c r="E73" t="str">
        <f>IF(OR(AND(ISBLANK(A73),ISBLANK(B73),ISBLANK(C73)),AND(ISTEXT(A73),ISTEXT(B73),ISTEXT(C73))),"OK","Incomplete")</f>
        <v>OK</v>
      </c>
    </row>
    <row r="74">
      <c r="D74" t="str">
        <f>IF(ISTEXT(B74),VLOOKUP(B74,Countries!$A$2:$B$250,2),"")</f>
        <v/>
      </c>
      <c r="E74" t="str">
        <f>IF(OR(AND(ISBLANK(A74),ISBLANK(B74),ISBLANK(C74)),AND(ISTEXT(A74),ISTEXT(B74),ISTEXT(C74))),"OK","Incomplete")</f>
        <v>OK</v>
      </c>
    </row>
    <row r="75">
      <c r="D75" t="str">
        <f>IF(ISTEXT(B75),VLOOKUP(B75,Countries!$A$2:$B$250,2),"")</f>
        <v/>
      </c>
      <c r="E75" t="str">
        <f>IF(OR(AND(ISBLANK(A75),ISBLANK(B75),ISBLANK(C75)),AND(ISTEXT(A75),ISTEXT(B75),ISTEXT(C75))),"OK","Incomplete")</f>
        <v>OK</v>
      </c>
    </row>
    <row r="76">
      <c r="D76" t="str">
        <f>IF(ISTEXT(B76),VLOOKUP(B76,Countries!$A$2:$B$250,2),"")</f>
        <v/>
      </c>
      <c r="E76" t="str">
        <f>IF(OR(AND(ISBLANK(A76),ISBLANK(B76),ISBLANK(C76)),AND(ISTEXT(A76),ISTEXT(B76),ISTEXT(C76))),"OK","Incomplete")</f>
        <v>OK</v>
      </c>
    </row>
    <row r="77">
      <c r="D77" t="str">
        <f>IF(ISTEXT(B77),VLOOKUP(B77,Countries!$A$2:$B$250,2),"")</f>
        <v/>
      </c>
      <c r="E77" t="str">
        <f>IF(OR(AND(ISBLANK(A77),ISBLANK(B77),ISBLANK(C77)),AND(ISTEXT(A77),ISTEXT(B77),ISTEXT(C77))),"OK","Incomplete")</f>
        <v>OK</v>
      </c>
    </row>
    <row r="78">
      <c r="D78" t="str">
        <f>IF(ISTEXT(B78),VLOOKUP(B78,Countries!$A$2:$B$250,2),"")</f>
        <v/>
      </c>
      <c r="E78" t="str">
        <f>IF(OR(AND(ISBLANK(A78),ISBLANK(B78),ISBLANK(C78)),AND(ISTEXT(A78),ISTEXT(B78),ISTEXT(C78))),"OK","Incomplete")</f>
        <v>OK</v>
      </c>
    </row>
    <row r="79">
      <c r="D79" t="str">
        <f>IF(ISTEXT(B79),VLOOKUP(B79,Countries!$A$2:$B$250,2),"")</f>
        <v/>
      </c>
      <c r="E79" t="str">
        <f>IF(OR(AND(ISBLANK(A79),ISBLANK(B79),ISBLANK(C79)),AND(ISTEXT(A79),ISTEXT(B79),ISTEXT(C79))),"OK","Incomplete")</f>
        <v>OK</v>
      </c>
    </row>
    <row r="80">
      <c r="D80" t="str">
        <f>IF(ISTEXT(B80),VLOOKUP(B80,Countries!$A$2:$B$250,2),"")</f>
        <v/>
      </c>
      <c r="E80" t="str">
        <f>IF(OR(AND(ISBLANK(A80),ISBLANK(B80),ISBLANK(C80)),AND(ISTEXT(A80),ISTEXT(B80),ISTEXT(C80))),"OK","Incomplete")</f>
        <v>OK</v>
      </c>
    </row>
    <row r="81">
      <c r="D81" t="str">
        <f>IF(ISTEXT(B81),VLOOKUP(B81,Countries!$A$2:$B$250,2),"")</f>
        <v/>
      </c>
      <c r="E81" t="str">
        <f>IF(OR(AND(ISBLANK(A81),ISBLANK(B81),ISBLANK(C81)),AND(ISTEXT(A81),ISTEXT(B81),ISTEXT(C81))),"OK","Incomplete")</f>
        <v>OK</v>
      </c>
    </row>
    <row r="82">
      <c r="D82" t="str">
        <f>IF(ISTEXT(B82),VLOOKUP(B82,Countries!$A$2:$B$250,2),"")</f>
        <v/>
      </c>
      <c r="E82" t="str">
        <f>IF(OR(AND(ISBLANK(A82),ISBLANK(B82),ISBLANK(C82)),AND(ISTEXT(A82),ISTEXT(B82),ISTEXT(C82))),"OK","Incomplete")</f>
        <v>OK</v>
      </c>
    </row>
    <row r="83">
      <c r="D83" t="str">
        <f>IF(ISTEXT(B83),VLOOKUP(B83,Countries!$A$2:$B$250,2),"")</f>
        <v/>
      </c>
      <c r="E83" t="str">
        <f>IF(OR(AND(ISBLANK(A83),ISBLANK(B83),ISBLANK(C83)),AND(ISTEXT(A83),ISTEXT(B83),ISTEXT(C83))),"OK","Incomplete")</f>
        <v>OK</v>
      </c>
    </row>
    <row r="84">
      <c r="D84" t="str">
        <f>IF(ISTEXT(B84),VLOOKUP(B84,Countries!$A$2:$B$250,2),"")</f>
        <v/>
      </c>
      <c r="E84" t="str">
        <f>IF(OR(AND(ISBLANK(A84),ISBLANK(B84),ISBLANK(C84)),AND(ISTEXT(A84),ISTEXT(B84),ISTEXT(C84))),"OK","Incomplete")</f>
        <v>OK</v>
      </c>
    </row>
    <row r="85">
      <c r="D85" t="str">
        <f>IF(ISTEXT(B85),VLOOKUP(B85,Countries!$A$2:$B$250,2),"")</f>
        <v/>
      </c>
      <c r="E85" t="str">
        <f>IF(OR(AND(ISBLANK(A85),ISBLANK(B85),ISBLANK(C85)),AND(ISTEXT(A85),ISTEXT(B85),ISTEXT(C85))),"OK","Incomplete")</f>
        <v>OK</v>
      </c>
    </row>
    <row r="86">
      <c r="D86" t="str">
        <f>IF(ISTEXT(B86),VLOOKUP(B86,Countries!$A$2:$B$250,2),"")</f>
        <v/>
      </c>
      <c r="E86" t="str">
        <f>IF(OR(AND(ISBLANK(A86),ISBLANK(B86),ISBLANK(C86)),AND(ISTEXT(A86),ISTEXT(B86),ISTEXT(C86))),"OK","Incomplete")</f>
        <v>OK</v>
      </c>
    </row>
    <row r="87">
      <c r="D87" t="str">
        <f>IF(ISTEXT(B87),VLOOKUP(B87,Countries!$A$2:$B$250,2),"")</f>
        <v/>
      </c>
      <c r="E87" t="str">
        <f>IF(OR(AND(ISBLANK(A87),ISBLANK(B87),ISBLANK(C87)),AND(ISTEXT(A87),ISTEXT(B87),ISTEXT(C87))),"OK","Incomplete")</f>
        <v>OK</v>
      </c>
    </row>
    <row r="88">
      <c r="D88" t="str">
        <f>IF(ISTEXT(B88),VLOOKUP(B88,Countries!$A$2:$B$250,2),"")</f>
        <v/>
      </c>
      <c r="E88" t="str">
        <f>IF(OR(AND(ISBLANK(A88),ISBLANK(B88),ISBLANK(C88)),AND(ISTEXT(A88),ISTEXT(B88),ISTEXT(C88))),"OK","Incomplete")</f>
        <v>OK</v>
      </c>
    </row>
    <row r="89">
      <c r="D89" t="str">
        <f>IF(ISTEXT(B89),VLOOKUP(B89,Countries!$A$2:$B$250,2),"")</f>
        <v/>
      </c>
      <c r="E89" t="str">
        <f>IF(OR(AND(ISBLANK(A89),ISBLANK(B89),ISBLANK(C89)),AND(ISTEXT(A89),ISTEXT(B89),ISTEXT(C89))),"OK","Incomplete")</f>
        <v>OK</v>
      </c>
    </row>
    <row r="90">
      <c r="D90" t="str">
        <f>IF(ISTEXT(B90),VLOOKUP(B90,Countries!$A$2:$B$250,2),"")</f>
        <v/>
      </c>
      <c r="E90" t="str">
        <f>IF(OR(AND(ISBLANK(A90),ISBLANK(B90),ISBLANK(C90)),AND(ISTEXT(A90),ISTEXT(B90),ISTEXT(C90))),"OK","Incomplete")</f>
        <v>OK</v>
      </c>
    </row>
    <row r="91">
      <c r="D91" t="str">
        <f>IF(ISTEXT(B91),VLOOKUP(B91,Countries!$A$2:$B$250,2),"")</f>
        <v/>
      </c>
      <c r="E91" t="str">
        <f>IF(OR(AND(ISBLANK(A91),ISBLANK(B91),ISBLANK(C91)),AND(ISTEXT(A91),ISTEXT(B91),ISTEXT(C91))),"OK","Incomplete")</f>
        <v>OK</v>
      </c>
    </row>
    <row r="92">
      <c r="D92" t="str">
        <f>IF(ISTEXT(B92),VLOOKUP(B92,Countries!$A$2:$B$250,2),"")</f>
        <v/>
      </c>
      <c r="E92" t="str">
        <f>IF(OR(AND(ISBLANK(A92),ISBLANK(B92),ISBLANK(C92)),AND(ISTEXT(A92),ISTEXT(B92),ISTEXT(C92))),"OK","Incomplete")</f>
        <v>OK</v>
      </c>
    </row>
    <row r="93">
      <c r="D93" t="str">
        <f>IF(ISTEXT(B93),VLOOKUP(B93,Countries!$A$2:$B$250,2),"")</f>
        <v/>
      </c>
      <c r="E93" t="str">
        <f>IF(OR(AND(ISBLANK(A93),ISBLANK(B93),ISBLANK(C93)),AND(ISTEXT(A93),ISTEXT(B93),ISTEXT(C93))),"OK","Incomplete")</f>
        <v>OK</v>
      </c>
    </row>
    <row r="94">
      <c r="D94" t="str">
        <f>IF(ISTEXT(B94),VLOOKUP(B94,Countries!$A$2:$B$250,2),"")</f>
        <v/>
      </c>
      <c r="E94" t="str">
        <f>IF(OR(AND(ISBLANK(A94),ISBLANK(B94),ISBLANK(C94)),AND(ISTEXT(A94),ISTEXT(B94),ISTEXT(C94))),"OK","Incomplete")</f>
        <v>OK</v>
      </c>
    </row>
    <row r="95">
      <c r="D95" t="str">
        <f>IF(ISTEXT(B95),VLOOKUP(B95,Countries!$A$2:$B$250,2),"")</f>
        <v/>
      </c>
      <c r="E95" t="str">
        <f>IF(OR(AND(ISBLANK(A95),ISBLANK(B95),ISBLANK(C95)),AND(ISTEXT(A95),ISTEXT(B95),ISTEXT(C95))),"OK","Incomplete")</f>
        <v>OK</v>
      </c>
    </row>
    <row r="96">
      <c r="D96" t="str">
        <f>IF(ISTEXT(B96),VLOOKUP(B96,Countries!$A$2:$B$250,2),"")</f>
        <v/>
      </c>
      <c r="E96" t="str">
        <f>IF(OR(AND(ISBLANK(A96),ISBLANK(B96),ISBLANK(C96)),AND(ISTEXT(A96),ISTEXT(B96),ISTEXT(C96))),"OK","Incomplete")</f>
        <v>OK</v>
      </c>
    </row>
    <row r="97">
      <c r="D97" t="str">
        <f>IF(ISTEXT(B97),VLOOKUP(B97,Countries!$A$2:$B$250,2),"")</f>
        <v/>
      </c>
      <c r="E97" t="str">
        <f>IF(OR(AND(ISBLANK(A97),ISBLANK(B97),ISBLANK(C97)),AND(ISTEXT(A97),ISTEXT(B97),ISTEXT(C97))),"OK","Incomplete")</f>
        <v>OK</v>
      </c>
    </row>
    <row r="98">
      <c r="D98" t="str">
        <f>IF(ISTEXT(B98),VLOOKUP(B98,Countries!$A$2:$B$250,2),"")</f>
        <v/>
      </c>
      <c r="E98" t="str">
        <f>IF(OR(AND(ISBLANK(A98),ISBLANK(B98),ISBLANK(C98)),AND(ISTEXT(A98),ISTEXT(B98),ISTEXT(C98))),"OK","Incomplete")</f>
        <v>OK</v>
      </c>
    </row>
    <row r="99">
      <c r="D99" t="str">
        <f>IF(ISTEXT(B99),VLOOKUP(B99,Countries!$A$2:$B$250,2),"")</f>
        <v/>
      </c>
      <c r="E99" t="str">
        <f>IF(OR(AND(ISBLANK(A99),ISBLANK(B99),ISBLANK(C99)),AND(ISTEXT(A99),ISTEXT(B99),ISTEXT(C99))),"OK","Incomplete")</f>
        <v>OK</v>
      </c>
    </row>
    <row r="100">
      <c r="D100" t="str">
        <f>IF(ISTEXT(B100),VLOOKUP(B100,Countries!$A$2:$B$250,2),"")</f>
        <v/>
      </c>
      <c r="E100" t="str">
        <f>IF(OR(AND(ISBLANK(A100),ISBLANK(B100),ISBLANK(C100)),AND(ISTEXT(A100),ISTEXT(B100),ISTEXT(C100))),"OK","Incomplete")</f>
        <v>OK</v>
      </c>
    </row>
    <row r="101">
      <c r="D101" t="str">
        <f>IF(ISTEXT(B101),VLOOKUP(B101,Countries!$A$2:$B$250,2),"")</f>
        <v/>
      </c>
      <c r="E101" t="str">
        <f>IF(OR(AND(ISBLANK(A101),ISBLANK(B101),ISBLANK(C101)),AND(ISTEXT(A101),ISTEXT(B101),ISTEXT(C101))),"OK","Incomplete")</f>
        <v>OK</v>
      </c>
    </row>
    <row r="102">
      <c r="D102" t="str">
        <f>IF(ISTEXT(B102),VLOOKUP(B102,Countries!$A$2:$B$250,2),"")</f>
        <v/>
      </c>
      <c r="E102" t="str">
        <f>IF(OR(AND(ISBLANK(A102),ISBLANK(B102),ISBLANK(C102)),AND(ISTEXT(A102),ISTEXT(B102),ISTEXT(C102))),"OK","Incomplete")</f>
        <v>OK</v>
      </c>
    </row>
    <row r="103">
      <c r="D103" t="str">
        <f>IF(ISTEXT(B103),VLOOKUP(B103,Countries!$A$2:$B$250,2),"")</f>
        <v/>
      </c>
      <c r="E103" t="str">
        <f>IF(OR(AND(ISBLANK(A103),ISBLANK(B103),ISBLANK(C103)),AND(ISTEXT(A103),ISTEXT(B103),ISTEXT(C103))),"OK","Incomplete")</f>
        <v>OK</v>
      </c>
    </row>
  </sheetData>
  <pageMargins left="0.7" right="0.7" top="0.75" bottom="0.75" header="0.3" footer="0.3"/>
  <ignoredErrors>
    <ignoredError numberStoredAsText="1" sqref="A1:E1048576"/>
  </ignoredErrors>
</worksheet>
</file>

<file path=docProps/app.xml><?xml version="1.0" encoding="utf-8"?>
<Properties xmlns="http://schemas.openxmlformats.org/officeDocument/2006/extended-properties" xmlns:vt="http://schemas.openxmlformats.org/officeDocument/2006/docPropsVTypes">
  <Application>SheetJS</Application>
  <AppVersion>16.0300</AppVersion>
  <DocSecurity>0</DocSecurity>
  <HyperlinksChanged>false</HyperlinksChanged>
  <SharedDoc>false</SharedDoc>
  <LinksUpToDate>false</LinksUpToDate>
  <ScaleCrop>false</ScaleCrop>
  <HeadingPairs>
    <vt:vector size="2" baseType="variant">
      <vt:variant>
        <vt:lpstr>Worksheets</vt:lpstr>
      </vt:variant>
      <vt:variant>
        <vt:i4>8</vt:i4>
      </vt:variant>
    </vt:vector>
  </HeadingPairs>
  <TitlesOfParts>
    <vt:vector size="8" baseType="lpstr">
      <vt:lpstr>Dashboard</vt:lpstr>
      <vt:lpstr>Redemptions</vt:lpstr>
      <vt:lpstr>TransactionData</vt:lpstr>
      <vt:lpstr>Countries</vt:lpstr>
      <vt:lpstr>RedemptionAccounts</vt:lpstr>
      <vt:lpstr>TradeAccounts</vt:lpstr>
      <vt:lpstr>AvailableI-RECs</vt:lpstr>
      <vt:lpstr>NewBeneficiaries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2021-06-21T08:27:40Z</dcterms:created>
  <dcterms:modified xsi:type="dcterms:W3CDTF">2022-06-14T13:53:40Z</dcterms:modified>
  <cp:lastModifiedBy>Momcilo Dzunic</cp:lastModifiedBy>
  <dc:creator>Ed Everson</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0x010100EA2B68EB2D3F3D429DB1DD1E4808F00D</vt:lpwstr>
  </property>
</Properties>
</file>